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c7642e1ecba65/Desktop/excel projecs/"/>
    </mc:Choice>
  </mc:AlternateContent>
  <xr:revisionPtr revIDLastSave="522" documentId="8_{EA90E1B3-DA3F-44B6-A6F8-7B0A4718C0B6}" xr6:coauthVersionLast="47" xr6:coauthVersionMax="47" xr10:uidLastSave="{9233A870-BF03-485F-9947-BA67C0F5EA29}"/>
  <bookViews>
    <workbookView xWindow="-96" yWindow="0" windowWidth="14988" windowHeight="12336" firstSheet="2" activeTab="3" xr2:uid="{2F79D8E9-CC54-4F3B-AFA8-251357CB66F1}"/>
  </bookViews>
  <sheets>
    <sheet name="rawdata" sheetId="1" r:id="rId1"/>
    <sheet name="cleaned data" sheetId="2" r:id="rId2"/>
    <sheet name="pivot table&amp;charts" sheetId="3" r:id="rId3"/>
    <sheet name="d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2" l="1"/>
</calcChain>
</file>

<file path=xl/sharedStrings.xml><?xml version="1.0" encoding="utf-8"?>
<sst xmlns="http://schemas.openxmlformats.org/spreadsheetml/2006/main" count="764" uniqueCount="148">
  <si>
    <t>Patient ID</t>
  </si>
  <si>
    <t>Date</t>
  </si>
  <si>
    <t>Patient Name</t>
  </si>
  <si>
    <t>Department</t>
  </si>
  <si>
    <t>Doctor</t>
  </si>
  <si>
    <t>City</t>
  </si>
  <si>
    <t>Gender</t>
  </si>
  <si>
    <t>Age</t>
  </si>
  <si>
    <t>Admission Type</t>
  </si>
  <si>
    <t>Bill Amount</t>
  </si>
  <si>
    <t>H001</t>
  </si>
  <si>
    <t>Aisha</t>
  </si>
  <si>
    <t>Cardiology</t>
  </si>
  <si>
    <t>Dr. Sharma</t>
  </si>
  <si>
    <t>Hyderabad</t>
  </si>
  <si>
    <t>F</t>
  </si>
  <si>
    <t>Emergency</t>
  </si>
  <si>
    <t>H002</t>
  </si>
  <si>
    <t>Rahul</t>
  </si>
  <si>
    <t>Orthopedic</t>
  </si>
  <si>
    <t>Dr. Khan</t>
  </si>
  <si>
    <t>Mumbai</t>
  </si>
  <si>
    <t>M</t>
  </si>
  <si>
    <t>Regular</t>
  </si>
  <si>
    <t>H003</t>
  </si>
  <si>
    <t>Priya</t>
  </si>
  <si>
    <t>Neurology</t>
  </si>
  <si>
    <t>Dr. Mehta</t>
  </si>
  <si>
    <t>Delhi</t>
  </si>
  <si>
    <t>H004</t>
  </si>
  <si>
    <t>Arjun</t>
  </si>
  <si>
    <t>H005</t>
  </si>
  <si>
    <t>Fatima</t>
  </si>
  <si>
    <t>Pediatrics</t>
  </si>
  <si>
    <t>Dr. Rao</t>
  </si>
  <si>
    <t>Hyderbad</t>
  </si>
  <si>
    <t>H006</t>
  </si>
  <si>
    <t>Bengaluru</t>
  </si>
  <si>
    <t>H007</t>
  </si>
  <si>
    <t>Neha</t>
  </si>
  <si>
    <t>Gynecology</t>
  </si>
  <si>
    <t>Dr. Das</t>
  </si>
  <si>
    <t>Pune</t>
  </si>
  <si>
    <t>H008</t>
  </si>
  <si>
    <t>Imran</t>
  </si>
  <si>
    <t>H010</t>
  </si>
  <si>
    <t>Kiran</t>
  </si>
  <si>
    <t>H011</t>
  </si>
  <si>
    <t>Riya</t>
  </si>
  <si>
    <t>Chennai</t>
  </si>
  <si>
    <t>H012</t>
  </si>
  <si>
    <t>Aman</t>
  </si>
  <si>
    <t>H013</t>
  </si>
  <si>
    <t>Sara</t>
  </si>
  <si>
    <t>H014</t>
  </si>
  <si>
    <t>Kabir</t>
  </si>
  <si>
    <t>H015</t>
  </si>
  <si>
    <t>Zoya</t>
  </si>
  <si>
    <t>H016</t>
  </si>
  <si>
    <t>Rohan</t>
  </si>
  <si>
    <t>H017</t>
  </si>
  <si>
    <t>Anjali</t>
  </si>
  <si>
    <t>H018</t>
  </si>
  <si>
    <t>Sameer</t>
  </si>
  <si>
    <t>H019</t>
  </si>
  <si>
    <t>Nisha</t>
  </si>
  <si>
    <t>H020</t>
  </si>
  <si>
    <t>Ali</t>
  </si>
  <si>
    <t>H021</t>
  </si>
  <si>
    <t>Meera</t>
  </si>
  <si>
    <t>H022</t>
  </si>
  <si>
    <t>Karan</t>
  </si>
  <si>
    <t>H023</t>
  </si>
  <si>
    <t>Pooja</t>
  </si>
  <si>
    <t>H024</t>
  </si>
  <si>
    <t>Sana</t>
  </si>
  <si>
    <t>H025</t>
  </si>
  <si>
    <t>John</t>
  </si>
  <si>
    <t>H026</t>
  </si>
  <si>
    <t>Ritu</t>
  </si>
  <si>
    <t>H027</t>
  </si>
  <si>
    <t>Anil</t>
  </si>
  <si>
    <t>H028</t>
  </si>
  <si>
    <t>Nazia</t>
  </si>
  <si>
    <t>H029</t>
  </si>
  <si>
    <t>Deepak</t>
  </si>
  <si>
    <t>H030</t>
  </si>
  <si>
    <t>Kavya</t>
  </si>
  <si>
    <t>H031</t>
  </si>
  <si>
    <t>Vikas</t>
  </si>
  <si>
    <t>H032</t>
  </si>
  <si>
    <t>Anu</t>
  </si>
  <si>
    <t>H033</t>
  </si>
  <si>
    <t>Ramesh</t>
  </si>
  <si>
    <t>H034</t>
  </si>
  <si>
    <t>Mohan</t>
  </si>
  <si>
    <t>H035</t>
  </si>
  <si>
    <t>Lata</t>
  </si>
  <si>
    <t>H036</t>
  </si>
  <si>
    <t>Farah</t>
  </si>
  <si>
    <t>H037</t>
  </si>
  <si>
    <t>H038</t>
  </si>
  <si>
    <t>Harish</t>
  </si>
  <si>
    <t>H039</t>
  </si>
  <si>
    <t>Komal</t>
  </si>
  <si>
    <t>H040</t>
  </si>
  <si>
    <t>Yash</t>
  </si>
  <si>
    <t>H041</t>
  </si>
  <si>
    <t>Asha</t>
  </si>
  <si>
    <t>H042</t>
  </si>
  <si>
    <t>Rohit</t>
  </si>
  <si>
    <t>H043</t>
  </si>
  <si>
    <t>H044</t>
  </si>
  <si>
    <t>H045</t>
  </si>
  <si>
    <t>Salman</t>
  </si>
  <si>
    <t>H046</t>
  </si>
  <si>
    <t>Geeta</t>
  </si>
  <si>
    <t>H047</t>
  </si>
  <si>
    <t>Rani</t>
  </si>
  <si>
    <t>H048</t>
  </si>
  <si>
    <t>H049</t>
  </si>
  <si>
    <t>mumbai</t>
  </si>
  <si>
    <t>H050</t>
  </si>
  <si>
    <t>Amit</t>
  </si>
  <si>
    <t>unknown</t>
  </si>
  <si>
    <t>hyderabad</t>
  </si>
  <si>
    <t>Sum of Bill Amount</t>
  </si>
  <si>
    <t>Row Labels</t>
  </si>
  <si>
    <t>Grand Total</t>
  </si>
  <si>
    <t>Count of Patient ID</t>
  </si>
  <si>
    <t>Average of Bill Amount</t>
  </si>
  <si>
    <t>admission type</t>
  </si>
  <si>
    <t>Doctors</t>
  </si>
  <si>
    <t>TOTAL REVENUE</t>
  </si>
  <si>
    <t>TOTAL PATIENTS</t>
  </si>
  <si>
    <t>TOP CITY</t>
  </si>
  <si>
    <t>HYDERABAD</t>
  </si>
  <si>
    <t>TOP DEPARTMENT</t>
  </si>
  <si>
    <t>CARDIOLOGY</t>
  </si>
  <si>
    <t>TOP DOCTOR</t>
  </si>
  <si>
    <t>DR.SHARMA</t>
  </si>
  <si>
    <t>HOSPITAL PERFORMANCE ANALYSIS</t>
  </si>
  <si>
    <t>HOSPITAL INSIGHTS</t>
  </si>
  <si>
    <t>Hyderabad generated the highest hospital revenue.</t>
  </si>
  <si>
    <t>Cardiology was the highest revenue-generating department.</t>
  </si>
  <si>
    <t>Dr. Sharma generated the highest billing among doctors.</t>
  </si>
  <si>
    <t>Regular admissions were slightly higher than emergency admissions.</t>
  </si>
  <si>
    <t>Neurology had one of the highest average bill amounts.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</si>
</sst>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u/>
      <sz val="14"/>
      <color theme="2" tint="-0.89999084444715716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2" tint="-0.89999084444715716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6"/>
      <color theme="2" tint="-0.899990844447157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5" fillId="3" borderId="8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3" borderId="8" xfId="0" applyFont="1" applyFill="1" applyBorder="1"/>
    <xf numFmtId="0" fontId="4" fillId="3" borderId="0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3" fillId="2" borderId="2" xfId="0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9" xfId="0" applyFill="1" applyBorder="1"/>
    <xf numFmtId="0" fontId="0" fillId="3" borderId="0" xfId="0" applyFill="1" applyBorder="1" applyAlignment="1">
      <alignment horizontal="center"/>
    </xf>
    <xf numFmtId="164" fontId="0" fillId="3" borderId="10" xfId="0" applyNumberFormat="1" applyFill="1" applyBorder="1"/>
    <xf numFmtId="0" fontId="0" fillId="3" borderId="11" xfId="0" applyFill="1" applyBorder="1"/>
    <xf numFmtId="0" fontId="0" fillId="3" borderId="12" xfId="0" applyFill="1" applyBorder="1"/>
    <xf numFmtId="0" fontId="6" fillId="3" borderId="8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3" borderId="10" xfId="0" applyFill="1" applyBorder="1"/>
    <xf numFmtId="0" fontId="8" fillId="3" borderId="8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164" fontId="10" fillId="3" borderId="8" xfId="0" applyNumberFormat="1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center"/>
    </xf>
    <xf numFmtId="164" fontId="10" fillId="3" borderId="9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4" borderId="0" xfId="0" applyFill="1"/>
    <xf numFmtId="0" fontId="11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2" fillId="4" borderId="2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</cellXfs>
  <cellStyles count="1">
    <cellStyle name="Normal" xfId="0" builtinId="0"/>
  </cellStyles>
  <dxfs count="2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2000" b="1">
                <a:solidFill>
                  <a:schemeClr val="tx1"/>
                </a:solidFill>
                <a:latin typeface="+mj-lt"/>
              </a:rPr>
              <a:t>Bill amount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table&amp;charts'!$A$2:$A$8</c:f>
              <c:strCache>
                <c:ptCount val="6"/>
                <c:pt idx="0">
                  <c:v>Hyderabad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  <c:pt idx="4">
                  <c:v>Chennai</c:v>
                </c:pt>
                <c:pt idx="5">
                  <c:v>Bengaluru</c:v>
                </c:pt>
              </c:strCache>
            </c:strRef>
          </c:cat>
          <c:val>
            <c:numRef>
              <c:f>'pivot table&amp;charts'!$B$2:$B$8</c:f>
              <c:numCache>
                <c:formatCode>"₹"\ #,##0.00</c:formatCode>
                <c:ptCount val="6"/>
                <c:pt idx="0">
                  <c:v>356000</c:v>
                </c:pt>
                <c:pt idx="1">
                  <c:v>333000</c:v>
                </c:pt>
                <c:pt idx="2">
                  <c:v>242000</c:v>
                </c:pt>
                <c:pt idx="3">
                  <c:v>216000</c:v>
                </c:pt>
                <c:pt idx="4">
                  <c:v>55000</c:v>
                </c:pt>
                <c:pt idx="5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E-40E9-A114-ECF86F73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138721887"/>
        <c:axId val="2138729567"/>
      </c:barChart>
      <c:catAx>
        <c:axId val="213872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29567"/>
        <c:crosses val="autoZero"/>
        <c:auto val="1"/>
        <c:lblAlgn val="ctr"/>
        <c:lblOffset val="100"/>
        <c:noMultiLvlLbl val="0"/>
      </c:catAx>
      <c:valAx>
        <c:axId val="21387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2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400"/>
              <a:t>Bill amount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table&amp;charts'!$A$19:$A$24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Orthopedic</c:v>
                </c:pt>
                <c:pt idx="3">
                  <c:v>Gynecology</c:v>
                </c:pt>
                <c:pt idx="4">
                  <c:v>Pediatrics</c:v>
                </c:pt>
              </c:strCache>
            </c:strRef>
          </c:cat>
          <c:val>
            <c:numRef>
              <c:f>'pivot table&amp;charts'!$B$19:$B$24</c:f>
              <c:numCache>
                <c:formatCode>"₹"\ #,##0.00</c:formatCode>
                <c:ptCount val="5"/>
                <c:pt idx="0">
                  <c:v>535000</c:v>
                </c:pt>
                <c:pt idx="1">
                  <c:v>349000</c:v>
                </c:pt>
                <c:pt idx="2">
                  <c:v>180000</c:v>
                </c:pt>
                <c:pt idx="3">
                  <c:v>116000</c:v>
                </c:pt>
                <c:pt idx="4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B-4240-86D7-50E70E737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61637103"/>
        <c:axId val="461641903"/>
      </c:barChart>
      <c:catAx>
        <c:axId val="46163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41903"/>
        <c:crosses val="autoZero"/>
        <c:auto val="1"/>
        <c:lblAlgn val="ctr"/>
        <c:lblOffset val="100"/>
        <c:noMultiLvlLbl val="0"/>
      </c:catAx>
      <c:valAx>
        <c:axId val="4616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3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600"/>
              <a:t>patients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table&amp;charts'!$A$37:$A$42</c:f>
              <c:strCache>
                <c:ptCount val="5"/>
                <c:pt idx="0">
                  <c:v>Cardiology</c:v>
                </c:pt>
                <c:pt idx="1">
                  <c:v>Orthopedic</c:v>
                </c:pt>
                <c:pt idx="2">
                  <c:v>Neurology</c:v>
                </c:pt>
                <c:pt idx="3">
                  <c:v>Pediatrics</c:v>
                </c:pt>
                <c:pt idx="4">
                  <c:v>Gynecology</c:v>
                </c:pt>
              </c:strCache>
            </c:strRef>
          </c:cat>
          <c:val>
            <c:numRef>
              <c:f>'pivot table&amp;charts'!$B$37:$B$42</c:f>
              <c:numCache>
                <c:formatCode>General</c:formatCode>
                <c:ptCount val="5"/>
                <c:pt idx="0">
                  <c:v>17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9-4ED0-B6AC-09671DC53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138766047"/>
        <c:axId val="2138767967"/>
      </c:barChart>
      <c:catAx>
        <c:axId val="21387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67967"/>
        <c:crosses val="autoZero"/>
        <c:auto val="1"/>
        <c:lblAlgn val="ctr"/>
        <c:lblOffset val="100"/>
        <c:noMultiLvlLbl val="0"/>
      </c:catAx>
      <c:valAx>
        <c:axId val="21387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Patients by admission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table&amp;charts'!$A$51:$A$53</c:f>
              <c:strCache>
                <c:ptCount val="2"/>
                <c:pt idx="0">
                  <c:v>Regular</c:v>
                </c:pt>
                <c:pt idx="1">
                  <c:v>Emergency</c:v>
                </c:pt>
              </c:strCache>
            </c:strRef>
          </c:cat>
          <c:val>
            <c:numRef>
              <c:f>'pivot table&amp;charts'!$B$51:$B$53</c:f>
              <c:numCache>
                <c:formatCode>General</c:formatCode>
                <c:ptCount val="2"/>
                <c:pt idx="0">
                  <c:v>25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1-4D28-B99D-673A56995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61696143"/>
        <c:axId val="461602543"/>
      </c:barChart>
      <c:catAx>
        <c:axId val="46169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02543"/>
        <c:crosses val="autoZero"/>
        <c:auto val="1"/>
        <c:lblAlgn val="ctr"/>
        <c:lblOffset val="100"/>
        <c:noMultiLvlLbl val="0"/>
      </c:catAx>
      <c:valAx>
        <c:axId val="4616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9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600"/>
              <a:t>Average bill by doctor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table&amp;charts'!$A$70:$A$75</c:f>
              <c:strCache>
                <c:ptCount val="5"/>
                <c:pt idx="0">
                  <c:v>Dr. Mehta</c:v>
                </c:pt>
                <c:pt idx="1">
                  <c:v>Dr. Sharma</c:v>
                </c:pt>
                <c:pt idx="2">
                  <c:v>Dr. Das</c:v>
                </c:pt>
                <c:pt idx="3">
                  <c:v>Dr. Khan</c:v>
                </c:pt>
                <c:pt idx="4">
                  <c:v>Dr. Rao</c:v>
                </c:pt>
              </c:strCache>
            </c:strRef>
          </c:cat>
          <c:val>
            <c:numRef>
              <c:f>'pivot table&amp;charts'!$B$70:$B$75</c:f>
              <c:numCache>
                <c:formatCode>"₹"\ #,##0.00</c:formatCode>
                <c:ptCount val="5"/>
                <c:pt idx="0">
                  <c:v>38777.777777777781</c:v>
                </c:pt>
                <c:pt idx="1">
                  <c:v>31470.588235294119</c:v>
                </c:pt>
                <c:pt idx="2">
                  <c:v>19333.333333333332</c:v>
                </c:pt>
                <c:pt idx="3">
                  <c:v>18000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A-4CD6-BF3E-CE89B7FE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14800799"/>
        <c:axId val="414797439"/>
      </c:barChart>
      <c:catAx>
        <c:axId val="4148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97439"/>
        <c:crosses val="autoZero"/>
        <c:auto val="1"/>
        <c:lblAlgn val="ctr"/>
        <c:lblOffset val="100"/>
        <c:noMultiLvlLbl val="0"/>
      </c:catAx>
      <c:valAx>
        <c:axId val="4147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0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2000" b="1">
                <a:solidFill>
                  <a:schemeClr val="tx1"/>
                </a:solidFill>
                <a:latin typeface="+mj-lt"/>
              </a:rPr>
              <a:t>Bill amount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table&amp;charts'!$A$2:$A$8</c:f>
              <c:strCache>
                <c:ptCount val="6"/>
                <c:pt idx="0">
                  <c:v>Hyderabad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  <c:pt idx="4">
                  <c:v>Chennai</c:v>
                </c:pt>
                <c:pt idx="5">
                  <c:v>Bengaluru</c:v>
                </c:pt>
              </c:strCache>
            </c:strRef>
          </c:cat>
          <c:val>
            <c:numRef>
              <c:f>'pivot table&amp;charts'!$B$2:$B$8</c:f>
              <c:numCache>
                <c:formatCode>"₹"\ #,##0.00</c:formatCode>
                <c:ptCount val="6"/>
                <c:pt idx="0">
                  <c:v>356000</c:v>
                </c:pt>
                <c:pt idx="1">
                  <c:v>333000</c:v>
                </c:pt>
                <c:pt idx="2">
                  <c:v>242000</c:v>
                </c:pt>
                <c:pt idx="3">
                  <c:v>216000</c:v>
                </c:pt>
                <c:pt idx="4">
                  <c:v>55000</c:v>
                </c:pt>
                <c:pt idx="5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E-483E-B022-801F97DE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138721887"/>
        <c:axId val="2138729567"/>
      </c:barChart>
      <c:catAx>
        <c:axId val="213872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29567"/>
        <c:crosses val="autoZero"/>
        <c:auto val="1"/>
        <c:lblAlgn val="ctr"/>
        <c:lblOffset val="100"/>
        <c:noMultiLvlLbl val="0"/>
      </c:catAx>
      <c:valAx>
        <c:axId val="21387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2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5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+mj-lt"/>
              </a:rPr>
              <a:t>Bill amount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5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table&amp;charts'!$A$19:$A$24</c:f>
              <c:strCache>
                <c:ptCount val="5"/>
                <c:pt idx="0">
                  <c:v>Cardiology</c:v>
                </c:pt>
                <c:pt idx="1">
                  <c:v>Neurology</c:v>
                </c:pt>
                <c:pt idx="2">
                  <c:v>Orthopedic</c:v>
                </c:pt>
                <c:pt idx="3">
                  <c:v>Gynecology</c:v>
                </c:pt>
                <c:pt idx="4">
                  <c:v>Pediatrics</c:v>
                </c:pt>
              </c:strCache>
            </c:strRef>
          </c:cat>
          <c:val>
            <c:numRef>
              <c:f>'pivot table&amp;charts'!$B$19:$B$24</c:f>
              <c:numCache>
                <c:formatCode>"₹"\ #,##0.00</c:formatCode>
                <c:ptCount val="5"/>
                <c:pt idx="0">
                  <c:v>535000</c:v>
                </c:pt>
                <c:pt idx="1">
                  <c:v>349000</c:v>
                </c:pt>
                <c:pt idx="2">
                  <c:v>180000</c:v>
                </c:pt>
                <c:pt idx="3">
                  <c:v>116000</c:v>
                </c:pt>
                <c:pt idx="4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6-4CBA-80F3-2292FF992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61637103"/>
        <c:axId val="461641903"/>
      </c:barChart>
      <c:catAx>
        <c:axId val="46163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41903"/>
        <c:crosses val="autoZero"/>
        <c:auto val="1"/>
        <c:lblAlgn val="ctr"/>
        <c:lblOffset val="100"/>
        <c:noMultiLvlLbl val="0"/>
      </c:catAx>
      <c:valAx>
        <c:axId val="4616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3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2000"/>
              <a:t>patients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table&amp;charts'!$A$37:$A$42</c:f>
              <c:strCache>
                <c:ptCount val="5"/>
                <c:pt idx="0">
                  <c:v>Cardiology</c:v>
                </c:pt>
                <c:pt idx="1">
                  <c:v>Orthopedic</c:v>
                </c:pt>
                <c:pt idx="2">
                  <c:v>Neurology</c:v>
                </c:pt>
                <c:pt idx="3">
                  <c:v>Pediatrics</c:v>
                </c:pt>
                <c:pt idx="4">
                  <c:v>Gynecology</c:v>
                </c:pt>
              </c:strCache>
            </c:strRef>
          </c:cat>
          <c:val>
            <c:numRef>
              <c:f>'pivot table&amp;charts'!$B$37:$B$42</c:f>
              <c:numCache>
                <c:formatCode>General</c:formatCode>
                <c:ptCount val="5"/>
                <c:pt idx="0">
                  <c:v>17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6-49B1-A328-408A57C3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138766047"/>
        <c:axId val="2138767967"/>
      </c:barChart>
      <c:catAx>
        <c:axId val="21387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67967"/>
        <c:crosses val="autoZero"/>
        <c:auto val="1"/>
        <c:lblAlgn val="ctr"/>
        <c:lblOffset val="100"/>
        <c:noMultiLvlLbl val="0"/>
      </c:catAx>
      <c:valAx>
        <c:axId val="21387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2000"/>
              <a:t>Patients by admission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table&amp;charts'!$A$51:$A$53</c:f>
              <c:strCache>
                <c:ptCount val="2"/>
                <c:pt idx="0">
                  <c:v>Regular</c:v>
                </c:pt>
                <c:pt idx="1">
                  <c:v>Emergency</c:v>
                </c:pt>
              </c:strCache>
            </c:strRef>
          </c:cat>
          <c:val>
            <c:numRef>
              <c:f>'pivot table&amp;charts'!$B$51:$B$53</c:f>
              <c:numCache>
                <c:formatCode>General</c:formatCode>
                <c:ptCount val="2"/>
                <c:pt idx="0">
                  <c:v>25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8-4965-B1A2-3F73598C0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61696143"/>
        <c:axId val="461602543"/>
      </c:barChart>
      <c:catAx>
        <c:axId val="46169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02543"/>
        <c:crosses val="autoZero"/>
        <c:auto val="1"/>
        <c:lblAlgn val="ctr"/>
        <c:lblOffset val="100"/>
        <c:noMultiLvlLbl val="0"/>
      </c:catAx>
      <c:valAx>
        <c:axId val="4616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9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[Hospital_analysis.xlsx]pivot table&amp;charts!PivotTable6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2000"/>
              <a:t>Average bill by doctor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table&amp;charts'!$B$69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table&amp;charts'!$A$70:$A$75</c:f>
              <c:strCache>
                <c:ptCount val="5"/>
                <c:pt idx="0">
                  <c:v>Dr. Mehta</c:v>
                </c:pt>
                <c:pt idx="1">
                  <c:v>Dr. Sharma</c:v>
                </c:pt>
                <c:pt idx="2">
                  <c:v>Dr. Das</c:v>
                </c:pt>
                <c:pt idx="3">
                  <c:v>Dr. Khan</c:v>
                </c:pt>
                <c:pt idx="4">
                  <c:v>Dr. Rao</c:v>
                </c:pt>
              </c:strCache>
            </c:strRef>
          </c:cat>
          <c:val>
            <c:numRef>
              <c:f>'pivot table&amp;charts'!$B$70:$B$75</c:f>
              <c:numCache>
                <c:formatCode>"₹"\ #,##0.00</c:formatCode>
                <c:ptCount val="5"/>
                <c:pt idx="0">
                  <c:v>38777.777777777781</c:v>
                </c:pt>
                <c:pt idx="1">
                  <c:v>31470.588235294119</c:v>
                </c:pt>
                <c:pt idx="2">
                  <c:v>19333.333333333332</c:v>
                </c:pt>
                <c:pt idx="3">
                  <c:v>18000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F-42D7-8119-2805E2737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414800799"/>
        <c:axId val="414797439"/>
      </c:barChart>
      <c:catAx>
        <c:axId val="4148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97439"/>
        <c:crosses val="autoZero"/>
        <c:auto val="1"/>
        <c:lblAlgn val="ctr"/>
        <c:lblOffset val="100"/>
        <c:noMultiLvlLbl val="0"/>
      </c:catAx>
      <c:valAx>
        <c:axId val="4147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0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95250</xdr:rowOff>
    </xdr:from>
    <xdr:to>
      <xdr:col>10</xdr:col>
      <xdr:colOff>480060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9298D-23DB-F90C-4026-4392D3595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182886</xdr:colOff>
      <xdr:row>17</xdr:row>
      <xdr:rowOff>19050</xdr:rowOff>
    </xdr:from>
    <xdr:to>
      <xdr:col>10</xdr:col>
      <xdr:colOff>457200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211DF8-0520-D035-9D49-467E8F1C5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160026</xdr:colOff>
      <xdr:row>33</xdr:row>
      <xdr:rowOff>179070</xdr:rowOff>
    </xdr:from>
    <xdr:to>
      <xdr:col>10</xdr:col>
      <xdr:colOff>396240</xdr:colOff>
      <xdr:row>48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936DCC-A64F-A881-86B1-D8B5033A1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160026</xdr:colOff>
      <xdr:row>49</xdr:row>
      <xdr:rowOff>156210</xdr:rowOff>
    </xdr:from>
    <xdr:to>
      <xdr:col>10</xdr:col>
      <xdr:colOff>411480</xdr:colOff>
      <xdr:row>64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539842-9031-6895-F043-2E08A0383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182886</xdr:colOff>
      <xdr:row>67</xdr:row>
      <xdr:rowOff>133350</xdr:rowOff>
    </xdr:from>
    <xdr:to>
      <xdr:col>9</xdr:col>
      <xdr:colOff>502926</xdr:colOff>
      <xdr:row>82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D8A32D-C92A-ECB9-CE74-E077A817E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323981</xdr:colOff>
      <xdr:row>28</xdr:row>
      <xdr:rowOff>35035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70436-F27A-47BB-B59B-D4B9107BA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18</xdr:col>
      <xdr:colOff>260916</xdr:colOff>
      <xdr:row>28</xdr:row>
      <xdr:rowOff>30704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E7CF02-4ED5-4AC1-B806-62DB8672A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222816</xdr:colOff>
      <xdr:row>47</xdr:row>
      <xdr:rowOff>30703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907045-2C5D-4966-936B-19AA35819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18</xdr:col>
      <xdr:colOff>238056</xdr:colOff>
      <xdr:row>47</xdr:row>
      <xdr:rowOff>30703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EA217F-1950-4FB2-8553-8B0CBA43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50</xdr:row>
      <xdr:rowOff>0</xdr:rowOff>
    </xdr:from>
    <xdr:to>
      <xdr:col>13</xdr:col>
      <xdr:colOff>308317</xdr:colOff>
      <xdr:row>65</xdr:row>
      <xdr:rowOff>30703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314DE2-95A5-4F0C-AD6A-5035CBA62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" refreshedDate="46190.863711458333" createdVersion="8" refreshedVersion="8" minRefreshableVersion="3" recordCount="49" xr:uid="{CC575EA4-BEC2-41C5-BF76-05FDAA43C51D}">
  <cacheSource type="worksheet">
    <worksheetSource name="Table1"/>
  </cacheSource>
  <cacheFields count="10">
    <cacheField name="Patient ID" numFmtId="0">
      <sharedItems count="49">
        <s v="H001"/>
        <s v="H002"/>
        <s v="H003"/>
        <s v="H004"/>
        <s v="H005"/>
        <s v="H006"/>
        <s v="H007"/>
        <s v="H008"/>
        <s v="H010"/>
        <s v="H011"/>
        <s v="H012"/>
        <s v="H013"/>
        <s v="H014"/>
        <s v="H015"/>
        <s v="H016"/>
        <s v="H017"/>
        <s v="H018"/>
        <s v="H019"/>
        <s v="H020"/>
        <s v="H021"/>
        <s v="H022"/>
        <s v="H023"/>
        <s v="H024"/>
        <s v="H025"/>
        <s v="H026"/>
        <s v="H027"/>
        <s v="H028"/>
        <s v="H029"/>
        <s v="H030"/>
        <s v="H031"/>
        <s v="H032"/>
        <s v="H033"/>
        <s v="H034"/>
        <s v="H035"/>
        <s v="H036"/>
        <s v="H037"/>
        <s v="H038"/>
        <s v="H039"/>
        <s v="H040"/>
        <s v="H041"/>
        <s v="H042"/>
        <s v="H043"/>
        <s v="H044"/>
        <s v="H045"/>
        <s v="H046"/>
        <s v="H047"/>
        <s v="H048"/>
        <s v="H049"/>
        <s v="H050"/>
      </sharedItems>
    </cacheField>
    <cacheField name="Date" numFmtId="14">
      <sharedItems containsSemiMixedTypes="0" containsNonDate="0" containsDate="1" containsString="0" minDate="2026-07-01T00:00:00" maxDate="2026-07-26T00:00:00" count="25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</sharedItems>
    </cacheField>
    <cacheField name="Patient Name" numFmtId="0">
      <sharedItems count="44">
        <s v="Aisha"/>
        <s v="Rahul"/>
        <s v="Priya"/>
        <s v="Arjun"/>
        <s v="Fatima"/>
        <s v="unknown"/>
        <s v="Neha"/>
        <s v="Imran"/>
        <s v="Kiran"/>
        <s v="Riya"/>
        <s v="Aman"/>
        <s v="Sara"/>
        <s v="Kabir"/>
        <s v="Zoya"/>
        <s v="Rohan"/>
        <s v="Anjali"/>
        <s v="Sameer"/>
        <s v="Nisha"/>
        <s v="Ali"/>
        <s v="Meera"/>
        <s v="Karan"/>
        <s v="Pooja"/>
        <s v="Sana"/>
        <s v="John"/>
        <s v="Ritu"/>
        <s v="Anil"/>
        <s v="Nazia"/>
        <s v="Deepak"/>
        <s v="Kavya"/>
        <s v="Vikas"/>
        <s v="Anu"/>
        <s v="Ramesh"/>
        <s v="Mohan"/>
        <s v="Lata"/>
        <s v="Farah"/>
        <s v="Harish"/>
        <s v="Komal"/>
        <s v="Yash"/>
        <s v="Asha"/>
        <s v="Rohit"/>
        <s v="Salman"/>
        <s v="Geeta"/>
        <s v="Rani"/>
        <s v="Amit"/>
      </sharedItems>
    </cacheField>
    <cacheField name="Department" numFmtId="0">
      <sharedItems count="5">
        <s v="Cardiology"/>
        <s v="Orthopedic"/>
        <s v="Neurology"/>
        <s v="Pediatrics"/>
        <s v="Gynecology"/>
      </sharedItems>
    </cacheField>
    <cacheField name="Doctor" numFmtId="0">
      <sharedItems count="5">
        <s v="Dr. Sharma"/>
        <s v="Dr. Khan"/>
        <s v="Dr. Mehta"/>
        <s v="Dr. Rao"/>
        <s v="Dr. Das"/>
      </sharedItems>
    </cacheField>
    <cacheField name="City" numFmtId="0">
      <sharedItems count="6">
        <s v="Hyderabad"/>
        <s v="Mumbai"/>
        <s v="Delhi"/>
        <s v="Bengaluru"/>
        <s v="Pune"/>
        <s v="Chennai"/>
      </sharedItems>
    </cacheField>
    <cacheField name="Gender" numFmtId="0">
      <sharedItems count="2">
        <s v="F"/>
        <s v="M"/>
      </sharedItems>
    </cacheField>
    <cacheField name="Age" numFmtId="0">
      <sharedItems containsSemiMixedTypes="0" containsString="0" containsNumber="1" containsInteger="1" minValue="7" maxValue="61"/>
    </cacheField>
    <cacheField name="Admission Type" numFmtId="0">
      <sharedItems count="2">
        <s v="Emergency"/>
        <s v="Regular"/>
      </sharedItems>
    </cacheField>
    <cacheField name="Bill Amount" numFmtId="0">
      <sharedItems containsSemiMixedTypes="0" containsString="0" containsNumber="1" containsInteger="1" minValue="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x v="0"/>
    <x v="0"/>
    <x v="0"/>
    <x v="0"/>
    <n v="25"/>
    <x v="0"/>
    <n v="25000"/>
  </r>
  <r>
    <x v="1"/>
    <x v="0"/>
    <x v="1"/>
    <x v="1"/>
    <x v="1"/>
    <x v="1"/>
    <x v="1"/>
    <n v="40"/>
    <x v="1"/>
    <n v="18000"/>
  </r>
  <r>
    <x v="2"/>
    <x v="1"/>
    <x v="2"/>
    <x v="2"/>
    <x v="2"/>
    <x v="2"/>
    <x v="0"/>
    <n v="35"/>
    <x v="0"/>
    <n v="32000"/>
  </r>
  <r>
    <x v="3"/>
    <x v="1"/>
    <x v="3"/>
    <x v="0"/>
    <x v="0"/>
    <x v="0"/>
    <x v="1"/>
    <n v="50"/>
    <x v="1"/>
    <n v="27000"/>
  </r>
  <r>
    <x v="4"/>
    <x v="2"/>
    <x v="4"/>
    <x v="3"/>
    <x v="3"/>
    <x v="0"/>
    <x v="0"/>
    <n v="10"/>
    <x v="1"/>
    <n v="12000"/>
  </r>
  <r>
    <x v="5"/>
    <x v="2"/>
    <x v="5"/>
    <x v="1"/>
    <x v="1"/>
    <x v="3"/>
    <x v="1"/>
    <n v="30"/>
    <x v="0"/>
    <n v="22000"/>
  </r>
  <r>
    <x v="6"/>
    <x v="3"/>
    <x v="6"/>
    <x v="4"/>
    <x v="4"/>
    <x v="4"/>
    <x v="0"/>
    <n v="28"/>
    <x v="1"/>
    <n v="0"/>
  </r>
  <r>
    <x v="7"/>
    <x v="3"/>
    <x v="7"/>
    <x v="0"/>
    <x v="0"/>
    <x v="1"/>
    <x v="1"/>
    <n v="45"/>
    <x v="0"/>
    <n v="29000"/>
  </r>
  <r>
    <x v="8"/>
    <x v="4"/>
    <x v="8"/>
    <x v="2"/>
    <x v="2"/>
    <x v="0"/>
    <x v="0"/>
    <n v="55"/>
    <x v="1"/>
    <n v="35000"/>
  </r>
  <r>
    <x v="9"/>
    <x v="5"/>
    <x v="9"/>
    <x v="1"/>
    <x v="1"/>
    <x v="5"/>
    <x v="0"/>
    <n v="22"/>
    <x v="1"/>
    <n v="15000"/>
  </r>
  <r>
    <x v="10"/>
    <x v="5"/>
    <x v="10"/>
    <x v="0"/>
    <x v="0"/>
    <x v="4"/>
    <x v="1"/>
    <n v="60"/>
    <x v="0"/>
    <n v="42000"/>
  </r>
  <r>
    <x v="11"/>
    <x v="6"/>
    <x v="11"/>
    <x v="3"/>
    <x v="3"/>
    <x v="1"/>
    <x v="0"/>
    <n v="8"/>
    <x v="1"/>
    <n v="9000"/>
  </r>
  <r>
    <x v="12"/>
    <x v="6"/>
    <x v="12"/>
    <x v="4"/>
    <x v="4"/>
    <x v="3"/>
    <x v="1"/>
    <n v="38"/>
    <x v="0"/>
    <n v="26000"/>
  </r>
  <r>
    <x v="13"/>
    <x v="7"/>
    <x v="13"/>
    <x v="0"/>
    <x v="0"/>
    <x v="0"/>
    <x v="0"/>
    <n v="42"/>
    <x v="1"/>
    <n v="31000"/>
  </r>
  <r>
    <x v="14"/>
    <x v="7"/>
    <x v="14"/>
    <x v="2"/>
    <x v="2"/>
    <x v="2"/>
    <x v="1"/>
    <n v="47"/>
    <x v="0"/>
    <n v="38000"/>
  </r>
  <r>
    <x v="15"/>
    <x v="8"/>
    <x v="15"/>
    <x v="1"/>
    <x v="1"/>
    <x v="1"/>
    <x v="0"/>
    <n v="33"/>
    <x v="1"/>
    <n v="17000"/>
  </r>
  <r>
    <x v="16"/>
    <x v="8"/>
    <x v="16"/>
    <x v="0"/>
    <x v="0"/>
    <x v="4"/>
    <x v="1"/>
    <n v="51"/>
    <x v="0"/>
    <n v="36000"/>
  </r>
  <r>
    <x v="17"/>
    <x v="9"/>
    <x v="17"/>
    <x v="3"/>
    <x v="3"/>
    <x v="2"/>
    <x v="0"/>
    <n v="12"/>
    <x v="1"/>
    <n v="10000"/>
  </r>
  <r>
    <x v="18"/>
    <x v="9"/>
    <x v="18"/>
    <x v="0"/>
    <x v="0"/>
    <x v="0"/>
    <x v="1"/>
    <n v="44"/>
    <x v="0"/>
    <n v="33000"/>
  </r>
  <r>
    <x v="19"/>
    <x v="10"/>
    <x v="19"/>
    <x v="4"/>
    <x v="4"/>
    <x v="5"/>
    <x v="0"/>
    <n v="29"/>
    <x v="1"/>
    <n v="20000"/>
  </r>
  <r>
    <x v="20"/>
    <x v="10"/>
    <x v="20"/>
    <x v="1"/>
    <x v="1"/>
    <x v="1"/>
    <x v="1"/>
    <n v="41"/>
    <x v="1"/>
    <n v="21000"/>
  </r>
  <r>
    <x v="21"/>
    <x v="11"/>
    <x v="21"/>
    <x v="2"/>
    <x v="2"/>
    <x v="2"/>
    <x v="0"/>
    <n v="52"/>
    <x v="0"/>
    <n v="40000"/>
  </r>
  <r>
    <x v="22"/>
    <x v="11"/>
    <x v="22"/>
    <x v="0"/>
    <x v="0"/>
    <x v="0"/>
    <x v="0"/>
    <n v="37"/>
    <x v="1"/>
    <n v="28000"/>
  </r>
  <r>
    <x v="23"/>
    <x v="12"/>
    <x v="23"/>
    <x v="1"/>
    <x v="1"/>
    <x v="4"/>
    <x v="1"/>
    <n v="49"/>
    <x v="0"/>
    <n v="24000"/>
  </r>
  <r>
    <x v="24"/>
    <x v="12"/>
    <x v="24"/>
    <x v="3"/>
    <x v="3"/>
    <x v="1"/>
    <x v="0"/>
    <n v="9"/>
    <x v="1"/>
    <n v="11000"/>
  </r>
  <r>
    <x v="25"/>
    <x v="13"/>
    <x v="25"/>
    <x v="2"/>
    <x v="2"/>
    <x v="2"/>
    <x v="1"/>
    <n v="58"/>
    <x v="0"/>
    <n v="39000"/>
  </r>
  <r>
    <x v="26"/>
    <x v="13"/>
    <x v="26"/>
    <x v="0"/>
    <x v="0"/>
    <x v="0"/>
    <x v="0"/>
    <n v="46"/>
    <x v="1"/>
    <n v="30000"/>
  </r>
  <r>
    <x v="27"/>
    <x v="14"/>
    <x v="27"/>
    <x v="4"/>
    <x v="4"/>
    <x v="4"/>
    <x v="1"/>
    <n v="35"/>
    <x v="0"/>
    <n v="25000"/>
  </r>
  <r>
    <x v="28"/>
    <x v="14"/>
    <x v="28"/>
    <x v="1"/>
    <x v="1"/>
    <x v="1"/>
    <x v="0"/>
    <n v="27"/>
    <x v="1"/>
    <n v="16000"/>
  </r>
  <r>
    <x v="29"/>
    <x v="15"/>
    <x v="29"/>
    <x v="0"/>
    <x v="0"/>
    <x v="2"/>
    <x v="1"/>
    <n v="54"/>
    <x v="0"/>
    <n v="37000"/>
  </r>
  <r>
    <x v="30"/>
    <x v="15"/>
    <x v="30"/>
    <x v="3"/>
    <x v="3"/>
    <x v="5"/>
    <x v="0"/>
    <n v="11"/>
    <x v="1"/>
    <n v="9500"/>
  </r>
  <r>
    <x v="31"/>
    <x v="16"/>
    <x v="31"/>
    <x v="2"/>
    <x v="2"/>
    <x v="0"/>
    <x v="1"/>
    <n v="61"/>
    <x v="0"/>
    <n v="45000"/>
  </r>
  <r>
    <x v="32"/>
    <x v="16"/>
    <x v="32"/>
    <x v="1"/>
    <x v="1"/>
    <x v="4"/>
    <x v="1"/>
    <n v="39"/>
    <x v="1"/>
    <n v="19000"/>
  </r>
  <r>
    <x v="33"/>
    <x v="17"/>
    <x v="33"/>
    <x v="4"/>
    <x v="4"/>
    <x v="1"/>
    <x v="0"/>
    <n v="31"/>
    <x v="1"/>
    <n v="23000"/>
  </r>
  <r>
    <x v="34"/>
    <x v="17"/>
    <x v="34"/>
    <x v="0"/>
    <x v="0"/>
    <x v="2"/>
    <x v="0"/>
    <n v="48"/>
    <x v="0"/>
    <n v="34000"/>
  </r>
  <r>
    <x v="35"/>
    <x v="18"/>
    <x v="5"/>
    <x v="3"/>
    <x v="3"/>
    <x v="0"/>
    <x v="0"/>
    <n v="7"/>
    <x v="1"/>
    <n v="8000"/>
  </r>
  <r>
    <x v="36"/>
    <x v="18"/>
    <x v="35"/>
    <x v="2"/>
    <x v="2"/>
    <x v="4"/>
    <x v="1"/>
    <n v="53"/>
    <x v="0"/>
    <n v="41000"/>
  </r>
  <r>
    <x v="37"/>
    <x v="19"/>
    <x v="36"/>
    <x v="1"/>
    <x v="1"/>
    <x v="1"/>
    <x v="0"/>
    <n v="36"/>
    <x v="1"/>
    <n v="0"/>
  </r>
  <r>
    <x v="38"/>
    <x v="19"/>
    <x v="37"/>
    <x v="0"/>
    <x v="0"/>
    <x v="2"/>
    <x v="1"/>
    <n v="43"/>
    <x v="0"/>
    <n v="32000"/>
  </r>
  <r>
    <x v="39"/>
    <x v="20"/>
    <x v="38"/>
    <x v="3"/>
    <x v="3"/>
    <x v="5"/>
    <x v="0"/>
    <n v="13"/>
    <x v="1"/>
    <n v="10500"/>
  </r>
  <r>
    <x v="40"/>
    <x v="20"/>
    <x v="39"/>
    <x v="0"/>
    <x v="0"/>
    <x v="0"/>
    <x v="1"/>
    <n v="45"/>
    <x v="0"/>
    <n v="30000"/>
  </r>
  <r>
    <x v="41"/>
    <x v="21"/>
    <x v="39"/>
    <x v="0"/>
    <x v="0"/>
    <x v="0"/>
    <x v="1"/>
    <n v="45"/>
    <x v="0"/>
    <n v="30000"/>
  </r>
  <r>
    <x v="42"/>
    <x v="21"/>
    <x v="2"/>
    <x v="2"/>
    <x v="2"/>
    <x v="1"/>
    <x v="0"/>
    <n v="34"/>
    <x v="1"/>
    <n v="36000"/>
  </r>
  <r>
    <x v="43"/>
    <x v="22"/>
    <x v="40"/>
    <x v="1"/>
    <x v="1"/>
    <x v="2"/>
    <x v="1"/>
    <n v="50"/>
    <x v="0"/>
    <n v="28000"/>
  </r>
  <r>
    <x v="44"/>
    <x v="22"/>
    <x v="41"/>
    <x v="0"/>
    <x v="0"/>
    <x v="4"/>
    <x v="0"/>
    <n v="39"/>
    <x v="1"/>
    <n v="29000"/>
  </r>
  <r>
    <x v="45"/>
    <x v="23"/>
    <x v="42"/>
    <x v="4"/>
    <x v="4"/>
    <x v="0"/>
    <x v="0"/>
    <n v="30"/>
    <x v="1"/>
    <n v="22000"/>
  </r>
  <r>
    <x v="46"/>
    <x v="23"/>
    <x v="7"/>
    <x v="0"/>
    <x v="0"/>
    <x v="1"/>
    <x v="1"/>
    <n v="46"/>
    <x v="0"/>
    <n v="31000"/>
  </r>
  <r>
    <x v="47"/>
    <x v="24"/>
    <x v="7"/>
    <x v="0"/>
    <x v="0"/>
    <x v="1"/>
    <x v="1"/>
    <n v="46"/>
    <x v="0"/>
    <n v="31000"/>
  </r>
  <r>
    <x v="48"/>
    <x v="24"/>
    <x v="43"/>
    <x v="2"/>
    <x v="2"/>
    <x v="2"/>
    <x v="1"/>
    <n v="57"/>
    <x v="0"/>
    <n v="4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1BDC3-CF4D-49D6-B068-C74710CF18F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6:B42" firstHeaderRow="1" firstDataRow="1" firstDataCol="1"/>
  <pivotFields count="10">
    <pivotField dataField="1" showAll="0"/>
    <pivotField numFmtId="14" showAll="0"/>
    <pivotField showAll="0"/>
    <pivotField axis="axisRow" showAll="0" sortType="descending">
      <items count="6"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Patien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96505-73E2-440E-9CD3-406029B0B9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">
  <location ref="A18:B24" firstHeaderRow="1" firstDataRow="1" firstDataCol="1"/>
  <pivotFields count="10">
    <pivotField showAll="0"/>
    <pivotField numFmtId="14" showAll="0"/>
    <pivotField showAll="0"/>
    <pivotField axis="axisRow" showAll="0" sortType="descending">
      <items count="6"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Sum of Bill Amount" fld="9" baseField="0" baseItem="0" numFmtId="164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1C691-8956-4654-9C22-73EC8EA9F1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ity">
  <location ref="A1:B8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7">
        <item x="3"/>
        <item x="5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5"/>
  </rowFields>
  <rowItems count="7">
    <i>
      <x v="3"/>
    </i>
    <i>
      <x v="2"/>
    </i>
    <i>
      <x v="4"/>
    </i>
    <i>
      <x v="5"/>
    </i>
    <i>
      <x v="1"/>
    </i>
    <i>
      <x/>
    </i>
    <i t="grand">
      <x/>
    </i>
  </rowItems>
  <colItems count="1">
    <i/>
  </colItems>
  <dataFields count="1">
    <dataField name="Sum of Bill Amount" fld="9" baseField="5" baseItem="0" numFmtId="164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05FB3-74F3-44D5-9C6B-F7A7BAAC50C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octors">
  <location ref="A69:B75" firstHeaderRow="1" firstDataRow="1" firstDataCol="1"/>
  <pivotFields count="10">
    <pivotField showAll="0"/>
    <pivotField numFmtId="14" showAll="0"/>
    <pivotField showAll="0"/>
    <pivotField showAll="0"/>
    <pivotField axis="axisRow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Average of Bill Amount" fld="9" subtotal="average" baseField="4" baseItem="0" numFmtId="164"/>
  </dataFields>
  <formats count="3">
    <format dxfId="28">
      <pivotArea grandRow="1" outline="0" collapsedLevelsAreSubtotals="1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6FBA7-67EF-4CD5-AAF4-6756DD44FF0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dmission type">
  <location ref="A50:B53" firstHeaderRow="1" firstDataRow="1" firstDataCol="1"/>
  <pivotFields count="10">
    <pivotField dataFiel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3">
    <i>
      <x v="1"/>
    </i>
    <i>
      <x/>
    </i>
    <i t="grand">
      <x/>
    </i>
  </rowItems>
  <colItems count="1">
    <i/>
  </colItems>
  <dataFields count="1">
    <dataField name="Count of Patient ID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FFFA4-613C-4BBA-9A40-BF650C78A6B6}" name="Table1" displayName="Table1" ref="A1:J51" totalsRowCount="1" headerRowDxfId="21" dataDxfId="20">
  <autoFilter ref="A1:J50" xr:uid="{353FFFA4-613C-4BBA-9A40-BF650C78A6B6}"/>
  <tableColumns count="10">
    <tableColumn id="1" xr3:uid="{9DDEAB71-F375-4362-8457-E05848F68F8D}" name="Patient ID" dataDxfId="19" totalsRowDxfId="9"/>
    <tableColumn id="2" xr3:uid="{06D469C4-EB3C-4E5D-880C-A4FB54B4A68D}" name="Date" dataDxfId="18" totalsRowDxfId="8"/>
    <tableColumn id="3" xr3:uid="{76F35149-AF82-403D-9D2E-3919634835B7}" name="Patient Name" dataDxfId="17" totalsRowDxfId="7"/>
    <tableColumn id="4" xr3:uid="{FB1A1CAC-BB0C-4DC0-95C0-9069F80878CC}" name="Department" dataDxfId="16" totalsRowDxfId="6"/>
    <tableColumn id="5" xr3:uid="{73A1E826-E096-4CF6-BAD1-23DC8B348914}" name="Doctor" dataDxfId="15" totalsRowDxfId="5"/>
    <tableColumn id="6" xr3:uid="{2D1295E3-2596-4B9E-A491-806953FD1508}" name="City" dataDxfId="14" totalsRowDxfId="4"/>
    <tableColumn id="7" xr3:uid="{8E183948-90D3-4B41-B112-D32A9E87878F}" name="Gender" dataDxfId="13" totalsRowDxfId="3"/>
    <tableColumn id="8" xr3:uid="{5822C995-6293-47CB-A935-373053555DC2}" name="Age" dataDxfId="12" totalsRowDxfId="2"/>
    <tableColumn id="9" xr3:uid="{392A190D-5DC4-4FBC-AB44-B196DA887D3B}" name="Admission Type" dataDxfId="11" totalsRowDxfId="1"/>
    <tableColumn id="10" xr3:uid="{D3088ED7-227F-436A-B078-62064B2AA02F}" name="Bill Amount" totalsRowFunction="custom" dataDxfId="10" totalsRowDxfId="0">
      <totalsRowFormula>SUM(J2:J50)</totalsRow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E199-C8A9-47EF-8045-19FCBA0E5648}">
  <dimension ref="A1:J51"/>
  <sheetViews>
    <sheetView workbookViewId="0">
      <selection activeCell="C7" sqref="A1:J51"/>
    </sheetView>
  </sheetViews>
  <sheetFormatPr defaultRowHeight="14.4" x14ac:dyDescent="0.3"/>
  <cols>
    <col min="1" max="1" width="7" bestFit="1" customWidth="1"/>
    <col min="2" max="2" width="10.33203125" bestFit="1" customWidth="1"/>
    <col min="3" max="3" width="13.21875" customWidth="1"/>
    <col min="4" max="4" width="14.88671875" customWidth="1"/>
    <col min="5" max="5" width="16" customWidth="1"/>
    <col min="6" max="6" width="14.6640625" customWidth="1"/>
    <col min="7" max="7" width="7.109375" bestFit="1" customWidth="1"/>
    <col min="8" max="8" width="4.21875" bestFit="1" customWidth="1"/>
    <col min="9" max="9" width="14.5546875" customWidth="1"/>
    <col min="10" max="10" width="7.8867187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3">
        <v>46204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25</v>
      </c>
      <c r="I2" s="2" t="s">
        <v>16</v>
      </c>
      <c r="J2" s="2">
        <v>25000</v>
      </c>
    </row>
    <row r="3" spans="1:10" ht="28.8" x14ac:dyDescent="0.3">
      <c r="A3" s="2" t="s">
        <v>17</v>
      </c>
      <c r="B3" s="3">
        <v>46204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40</v>
      </c>
      <c r="I3" s="2" t="s">
        <v>23</v>
      </c>
      <c r="J3" s="2">
        <v>18000</v>
      </c>
    </row>
    <row r="4" spans="1:10" ht="28.8" x14ac:dyDescent="0.3">
      <c r="A4" s="2" t="s">
        <v>24</v>
      </c>
      <c r="B4" s="3">
        <v>46205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>
        <v>35</v>
      </c>
      <c r="I4" s="2" t="s">
        <v>16</v>
      </c>
      <c r="J4" s="2">
        <v>32000</v>
      </c>
    </row>
    <row r="5" spans="1:10" ht="28.8" x14ac:dyDescent="0.3">
      <c r="A5" s="2" t="s">
        <v>29</v>
      </c>
      <c r="B5" s="3">
        <v>46205</v>
      </c>
      <c r="C5" s="2" t="s">
        <v>30</v>
      </c>
      <c r="D5" s="2" t="s">
        <v>12</v>
      </c>
      <c r="E5" s="2" t="s">
        <v>13</v>
      </c>
      <c r="F5" s="2" t="s">
        <v>14</v>
      </c>
      <c r="G5" s="2" t="s">
        <v>22</v>
      </c>
      <c r="H5" s="2">
        <v>50</v>
      </c>
      <c r="I5" s="2" t="s">
        <v>23</v>
      </c>
      <c r="J5" s="2">
        <v>27000</v>
      </c>
    </row>
    <row r="6" spans="1:10" x14ac:dyDescent="0.3">
      <c r="A6" s="2" t="s">
        <v>31</v>
      </c>
      <c r="B6" s="3">
        <v>46206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15</v>
      </c>
      <c r="H6" s="2">
        <v>10</v>
      </c>
      <c r="I6" s="2" t="s">
        <v>23</v>
      </c>
      <c r="J6" s="2">
        <v>12000</v>
      </c>
    </row>
    <row r="7" spans="1:10" ht="28.8" x14ac:dyDescent="0.3">
      <c r="A7" s="2" t="s">
        <v>36</v>
      </c>
      <c r="B7" s="3">
        <v>46206</v>
      </c>
      <c r="C7" s="2"/>
      <c r="D7" s="2" t="s">
        <v>19</v>
      </c>
      <c r="E7" s="2" t="s">
        <v>20</v>
      </c>
      <c r="F7" s="2" t="s">
        <v>37</v>
      </c>
      <c r="G7" s="2" t="s">
        <v>22</v>
      </c>
      <c r="H7" s="2">
        <v>30</v>
      </c>
      <c r="I7" s="2" t="s">
        <v>16</v>
      </c>
      <c r="J7" s="2">
        <v>22000</v>
      </c>
    </row>
    <row r="8" spans="1:10" ht="28.8" x14ac:dyDescent="0.3">
      <c r="A8" s="2" t="s">
        <v>38</v>
      </c>
      <c r="B8" s="3">
        <v>46207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15</v>
      </c>
      <c r="H8" s="2">
        <v>28</v>
      </c>
      <c r="I8" s="2" t="s">
        <v>23</v>
      </c>
      <c r="J8" s="2"/>
    </row>
    <row r="9" spans="1:10" ht="28.8" x14ac:dyDescent="0.3">
      <c r="A9" s="2" t="s">
        <v>43</v>
      </c>
      <c r="B9" s="3">
        <v>46207</v>
      </c>
      <c r="C9" s="2" t="s">
        <v>44</v>
      </c>
      <c r="D9" s="2" t="s">
        <v>12</v>
      </c>
      <c r="E9" s="2" t="s">
        <v>13</v>
      </c>
      <c r="F9" s="2" t="s">
        <v>21</v>
      </c>
      <c r="G9" s="2" t="s">
        <v>22</v>
      </c>
      <c r="H9" s="2">
        <v>45</v>
      </c>
      <c r="I9" s="2" t="s">
        <v>16</v>
      </c>
      <c r="J9" s="2">
        <v>29000</v>
      </c>
    </row>
    <row r="10" spans="1:10" x14ac:dyDescent="0.3">
      <c r="A10" s="2" t="s">
        <v>43</v>
      </c>
      <c r="B10" s="3">
        <v>46207</v>
      </c>
      <c r="C10" s="2" t="s">
        <v>44</v>
      </c>
      <c r="D10" s="2" t="s">
        <v>12</v>
      </c>
      <c r="E10" s="2" t="s">
        <v>13</v>
      </c>
      <c r="F10" s="2" t="s">
        <v>21</v>
      </c>
      <c r="G10" s="2" t="s">
        <v>22</v>
      </c>
      <c r="H10" s="2">
        <v>45</v>
      </c>
      <c r="I10" s="2" t="s">
        <v>16</v>
      </c>
      <c r="J10" s="2">
        <v>29000</v>
      </c>
    </row>
    <row r="11" spans="1:10" x14ac:dyDescent="0.3">
      <c r="A11" s="2" t="s">
        <v>45</v>
      </c>
      <c r="B11" s="3">
        <v>46208</v>
      </c>
      <c r="C11" s="2" t="s">
        <v>46</v>
      </c>
      <c r="D11" s="2" t="s">
        <v>26</v>
      </c>
      <c r="E11" s="2" t="s">
        <v>27</v>
      </c>
      <c r="F11" s="2" t="s">
        <v>14</v>
      </c>
      <c r="G11" s="2" t="s">
        <v>15</v>
      </c>
      <c r="H11" s="2">
        <v>55</v>
      </c>
      <c r="I11" s="2" t="s">
        <v>23</v>
      </c>
      <c r="J11" s="2">
        <v>35000</v>
      </c>
    </row>
    <row r="12" spans="1:10" x14ac:dyDescent="0.3">
      <c r="A12" s="2" t="s">
        <v>47</v>
      </c>
      <c r="B12" s="3">
        <v>46209</v>
      </c>
      <c r="C12" s="2" t="s">
        <v>48</v>
      </c>
      <c r="D12" s="2" t="s">
        <v>19</v>
      </c>
      <c r="E12" s="2" t="s">
        <v>20</v>
      </c>
      <c r="F12" s="2" t="s">
        <v>49</v>
      </c>
      <c r="G12" s="2" t="s">
        <v>15</v>
      </c>
      <c r="H12" s="2">
        <v>22</v>
      </c>
      <c r="I12" s="2" t="s">
        <v>23</v>
      </c>
      <c r="J12" s="2">
        <v>15000</v>
      </c>
    </row>
    <row r="13" spans="1:10" x14ac:dyDescent="0.3">
      <c r="A13" s="2" t="s">
        <v>50</v>
      </c>
      <c r="B13" s="3">
        <v>46209</v>
      </c>
      <c r="C13" s="2" t="s">
        <v>51</v>
      </c>
      <c r="D13" s="2" t="s">
        <v>12</v>
      </c>
      <c r="E13" s="2" t="s">
        <v>13</v>
      </c>
      <c r="F13" s="2" t="s">
        <v>42</v>
      </c>
      <c r="G13" s="2" t="s">
        <v>22</v>
      </c>
      <c r="H13" s="2">
        <v>60</v>
      </c>
      <c r="I13" s="2" t="s">
        <v>16</v>
      </c>
      <c r="J13" s="2">
        <v>42000</v>
      </c>
    </row>
    <row r="14" spans="1:10" x14ac:dyDescent="0.3">
      <c r="A14" s="2" t="s">
        <v>52</v>
      </c>
      <c r="B14" s="3">
        <v>46210</v>
      </c>
      <c r="C14" s="2" t="s">
        <v>53</v>
      </c>
      <c r="D14" s="2" t="s">
        <v>33</v>
      </c>
      <c r="E14" s="2" t="s">
        <v>34</v>
      </c>
      <c r="F14" s="2" t="s">
        <v>21</v>
      </c>
      <c r="G14" s="2" t="s">
        <v>15</v>
      </c>
      <c r="H14" s="2">
        <v>8</v>
      </c>
      <c r="I14" s="2" t="s">
        <v>23</v>
      </c>
      <c r="J14" s="2">
        <v>9000</v>
      </c>
    </row>
    <row r="15" spans="1:10" x14ac:dyDescent="0.3">
      <c r="A15" s="2" t="s">
        <v>54</v>
      </c>
      <c r="B15" s="3">
        <v>46210</v>
      </c>
      <c r="C15" s="2" t="s">
        <v>55</v>
      </c>
      <c r="D15" s="2" t="s">
        <v>40</v>
      </c>
      <c r="E15" s="2" t="s">
        <v>41</v>
      </c>
      <c r="F15" s="2" t="s">
        <v>37</v>
      </c>
      <c r="G15" s="2" t="s">
        <v>22</v>
      </c>
      <c r="H15" s="2">
        <v>38</v>
      </c>
      <c r="I15" s="2" t="s">
        <v>16</v>
      </c>
      <c r="J15" s="2">
        <v>26000</v>
      </c>
    </row>
    <row r="16" spans="1:10" x14ac:dyDescent="0.3">
      <c r="A16" s="2" t="s">
        <v>56</v>
      </c>
      <c r="B16" s="3">
        <v>46211</v>
      </c>
      <c r="C16" s="2" t="s">
        <v>57</v>
      </c>
      <c r="D16" s="2" t="s">
        <v>12</v>
      </c>
      <c r="E16" s="2" t="s">
        <v>13</v>
      </c>
      <c r="F16" s="2" t="s">
        <v>14</v>
      </c>
      <c r="G16" s="2" t="s">
        <v>15</v>
      </c>
      <c r="H16" s="2">
        <v>42</v>
      </c>
      <c r="I16" s="2" t="s">
        <v>23</v>
      </c>
      <c r="J16" s="2">
        <v>31000</v>
      </c>
    </row>
    <row r="17" spans="1:10" x14ac:dyDescent="0.3">
      <c r="A17" s="2" t="s">
        <v>58</v>
      </c>
      <c r="B17" s="3">
        <v>46211</v>
      </c>
      <c r="C17" s="2" t="s">
        <v>59</v>
      </c>
      <c r="D17" s="2" t="s">
        <v>26</v>
      </c>
      <c r="E17" s="2" t="s">
        <v>27</v>
      </c>
      <c r="F17" s="2" t="s">
        <v>28</v>
      </c>
      <c r="G17" s="2" t="s">
        <v>22</v>
      </c>
      <c r="H17" s="2">
        <v>47</v>
      </c>
      <c r="I17" s="2" t="s">
        <v>16</v>
      </c>
      <c r="J17" s="2">
        <v>38000</v>
      </c>
    </row>
    <row r="18" spans="1:10" x14ac:dyDescent="0.3">
      <c r="A18" s="2" t="s">
        <v>60</v>
      </c>
      <c r="B18" s="3">
        <v>46212</v>
      </c>
      <c r="C18" s="2" t="s">
        <v>61</v>
      </c>
      <c r="D18" s="2" t="s">
        <v>19</v>
      </c>
      <c r="E18" s="2" t="s">
        <v>20</v>
      </c>
      <c r="F18" s="2" t="s">
        <v>21</v>
      </c>
      <c r="G18" s="2" t="s">
        <v>15</v>
      </c>
      <c r="H18" s="2">
        <v>33</v>
      </c>
      <c r="I18" s="2" t="s">
        <v>23</v>
      </c>
      <c r="J18" s="2">
        <v>17000</v>
      </c>
    </row>
    <row r="19" spans="1:10" x14ac:dyDescent="0.3">
      <c r="A19" s="2" t="s">
        <v>62</v>
      </c>
      <c r="B19" s="3">
        <v>46212</v>
      </c>
      <c r="C19" s="2" t="s">
        <v>63</v>
      </c>
      <c r="D19" s="2" t="s">
        <v>12</v>
      </c>
      <c r="E19" s="2" t="s">
        <v>13</v>
      </c>
      <c r="F19" s="2" t="s">
        <v>42</v>
      </c>
      <c r="G19" s="2" t="s">
        <v>22</v>
      </c>
      <c r="H19" s="2">
        <v>51</v>
      </c>
      <c r="I19" s="2" t="s">
        <v>16</v>
      </c>
      <c r="J19" s="2">
        <v>36000</v>
      </c>
    </row>
    <row r="20" spans="1:10" x14ac:dyDescent="0.3">
      <c r="A20" s="2" t="s">
        <v>64</v>
      </c>
      <c r="B20" s="3">
        <v>46213</v>
      </c>
      <c r="C20" s="2" t="s">
        <v>65</v>
      </c>
      <c r="D20" s="2" t="s">
        <v>33</v>
      </c>
      <c r="E20" s="2" t="s">
        <v>34</v>
      </c>
      <c r="F20" s="2" t="s">
        <v>28</v>
      </c>
      <c r="G20" s="2" t="s">
        <v>15</v>
      </c>
      <c r="H20" s="2">
        <v>12</v>
      </c>
      <c r="I20" s="2" t="s">
        <v>23</v>
      </c>
      <c r="J20" s="2">
        <v>10000</v>
      </c>
    </row>
    <row r="21" spans="1:10" x14ac:dyDescent="0.3">
      <c r="A21" s="2" t="s">
        <v>66</v>
      </c>
      <c r="B21" s="3">
        <v>46213</v>
      </c>
      <c r="C21" s="2" t="s">
        <v>67</v>
      </c>
      <c r="D21" s="2" t="s">
        <v>12</v>
      </c>
      <c r="E21" s="2" t="s">
        <v>13</v>
      </c>
      <c r="F21" s="2" t="s">
        <v>14</v>
      </c>
      <c r="G21" s="2" t="s">
        <v>22</v>
      </c>
      <c r="H21" s="2">
        <v>44</v>
      </c>
      <c r="I21" s="2" t="s">
        <v>16</v>
      </c>
      <c r="J21" s="2">
        <v>33000</v>
      </c>
    </row>
    <row r="22" spans="1:10" x14ac:dyDescent="0.3">
      <c r="A22" s="2" t="s">
        <v>68</v>
      </c>
      <c r="B22" s="3">
        <v>46214</v>
      </c>
      <c r="C22" s="2" t="s">
        <v>69</v>
      </c>
      <c r="D22" s="2" t="s">
        <v>40</v>
      </c>
      <c r="E22" s="2" t="s">
        <v>41</v>
      </c>
      <c r="F22" s="2" t="s">
        <v>49</v>
      </c>
      <c r="G22" s="2" t="s">
        <v>15</v>
      </c>
      <c r="H22" s="2">
        <v>29</v>
      </c>
      <c r="I22" s="2" t="s">
        <v>23</v>
      </c>
      <c r="J22" s="2">
        <v>20000</v>
      </c>
    </row>
    <row r="23" spans="1:10" x14ac:dyDescent="0.3">
      <c r="A23" s="2" t="s">
        <v>70</v>
      </c>
      <c r="B23" s="3">
        <v>46214</v>
      </c>
      <c r="C23" s="2" t="s">
        <v>71</v>
      </c>
      <c r="D23" s="2" t="s">
        <v>19</v>
      </c>
      <c r="E23" s="2" t="s">
        <v>20</v>
      </c>
      <c r="F23" s="2" t="s">
        <v>21</v>
      </c>
      <c r="G23" s="2" t="s">
        <v>22</v>
      </c>
      <c r="H23" s="2">
        <v>41</v>
      </c>
      <c r="I23" s="2" t="s">
        <v>23</v>
      </c>
      <c r="J23" s="2">
        <v>21000</v>
      </c>
    </row>
    <row r="24" spans="1:10" x14ac:dyDescent="0.3">
      <c r="A24" s="2" t="s">
        <v>72</v>
      </c>
      <c r="B24" s="3">
        <v>46215</v>
      </c>
      <c r="C24" s="2" t="s">
        <v>73</v>
      </c>
      <c r="D24" s="2" t="s">
        <v>26</v>
      </c>
      <c r="E24" s="2" t="s">
        <v>27</v>
      </c>
      <c r="F24" s="2" t="s">
        <v>28</v>
      </c>
      <c r="G24" s="2" t="s">
        <v>15</v>
      </c>
      <c r="H24" s="2">
        <v>52</v>
      </c>
      <c r="I24" s="2" t="s">
        <v>16</v>
      </c>
      <c r="J24" s="2">
        <v>40000</v>
      </c>
    </row>
    <row r="25" spans="1:10" x14ac:dyDescent="0.3">
      <c r="A25" s="2" t="s">
        <v>74</v>
      </c>
      <c r="B25" s="3">
        <v>46215</v>
      </c>
      <c r="C25" s="2" t="s">
        <v>75</v>
      </c>
      <c r="D25" s="2" t="s">
        <v>12</v>
      </c>
      <c r="E25" s="2" t="s">
        <v>13</v>
      </c>
      <c r="F25" s="2" t="s">
        <v>14</v>
      </c>
      <c r="G25" s="2" t="s">
        <v>15</v>
      </c>
      <c r="H25" s="2">
        <v>37</v>
      </c>
      <c r="I25" s="2" t="s">
        <v>23</v>
      </c>
      <c r="J25" s="2">
        <v>28000</v>
      </c>
    </row>
    <row r="26" spans="1:10" x14ac:dyDescent="0.3">
      <c r="A26" s="2" t="s">
        <v>76</v>
      </c>
      <c r="B26" s="3">
        <v>46216</v>
      </c>
      <c r="C26" s="2" t="s">
        <v>77</v>
      </c>
      <c r="D26" s="2" t="s">
        <v>19</v>
      </c>
      <c r="E26" s="2" t="s">
        <v>20</v>
      </c>
      <c r="F26" s="2" t="s">
        <v>42</v>
      </c>
      <c r="G26" s="2" t="s">
        <v>22</v>
      </c>
      <c r="H26" s="2">
        <v>49</v>
      </c>
      <c r="I26" s="2" t="s">
        <v>16</v>
      </c>
      <c r="J26" s="2">
        <v>24000</v>
      </c>
    </row>
    <row r="27" spans="1:10" x14ac:dyDescent="0.3">
      <c r="A27" s="2" t="s">
        <v>78</v>
      </c>
      <c r="B27" s="3">
        <v>46216</v>
      </c>
      <c r="C27" s="2" t="s">
        <v>79</v>
      </c>
      <c r="D27" s="2" t="s">
        <v>33</v>
      </c>
      <c r="E27" s="2" t="s">
        <v>34</v>
      </c>
      <c r="F27" s="2" t="s">
        <v>21</v>
      </c>
      <c r="G27" s="2" t="s">
        <v>15</v>
      </c>
      <c r="H27" s="2">
        <v>9</v>
      </c>
      <c r="I27" s="2" t="s">
        <v>23</v>
      </c>
      <c r="J27" s="2">
        <v>11000</v>
      </c>
    </row>
    <row r="28" spans="1:10" x14ac:dyDescent="0.3">
      <c r="A28" s="2" t="s">
        <v>80</v>
      </c>
      <c r="B28" s="3">
        <v>46217</v>
      </c>
      <c r="C28" s="2" t="s">
        <v>81</v>
      </c>
      <c r="D28" s="2" t="s">
        <v>26</v>
      </c>
      <c r="E28" s="2" t="s">
        <v>27</v>
      </c>
      <c r="F28" s="2" t="s">
        <v>28</v>
      </c>
      <c r="G28" s="2" t="s">
        <v>22</v>
      </c>
      <c r="H28" s="2">
        <v>58</v>
      </c>
      <c r="I28" s="2" t="s">
        <v>16</v>
      </c>
      <c r="J28" s="2">
        <v>39000</v>
      </c>
    </row>
    <row r="29" spans="1:10" x14ac:dyDescent="0.3">
      <c r="A29" s="2" t="s">
        <v>82</v>
      </c>
      <c r="B29" s="3">
        <v>46217</v>
      </c>
      <c r="C29" s="2" t="s">
        <v>83</v>
      </c>
      <c r="D29" s="2" t="s">
        <v>12</v>
      </c>
      <c r="E29" s="2" t="s">
        <v>13</v>
      </c>
      <c r="F29" s="2" t="s">
        <v>14</v>
      </c>
      <c r="G29" s="2" t="s">
        <v>15</v>
      </c>
      <c r="H29" s="2">
        <v>46</v>
      </c>
      <c r="I29" s="2" t="s">
        <v>23</v>
      </c>
      <c r="J29" s="2">
        <v>30000</v>
      </c>
    </row>
    <row r="30" spans="1:10" x14ac:dyDescent="0.3">
      <c r="A30" s="2" t="s">
        <v>84</v>
      </c>
      <c r="B30" s="3">
        <v>46218</v>
      </c>
      <c r="C30" s="2" t="s">
        <v>85</v>
      </c>
      <c r="D30" s="2" t="s">
        <v>40</v>
      </c>
      <c r="E30" s="2" t="s">
        <v>41</v>
      </c>
      <c r="F30" s="2" t="s">
        <v>42</v>
      </c>
      <c r="G30" s="2" t="s">
        <v>22</v>
      </c>
      <c r="H30" s="2">
        <v>35</v>
      </c>
      <c r="I30" s="2" t="s">
        <v>16</v>
      </c>
      <c r="J30" s="2">
        <v>25000</v>
      </c>
    </row>
    <row r="31" spans="1:10" x14ac:dyDescent="0.3">
      <c r="A31" s="2" t="s">
        <v>86</v>
      </c>
      <c r="B31" s="3">
        <v>46218</v>
      </c>
      <c r="C31" s="2" t="s">
        <v>87</v>
      </c>
      <c r="D31" s="2" t="s">
        <v>19</v>
      </c>
      <c r="E31" s="2" t="s">
        <v>20</v>
      </c>
      <c r="F31" s="2" t="s">
        <v>21</v>
      </c>
      <c r="G31" s="2" t="s">
        <v>15</v>
      </c>
      <c r="H31" s="2">
        <v>27</v>
      </c>
      <c r="I31" s="2" t="s">
        <v>23</v>
      </c>
      <c r="J31" s="2">
        <v>16000</v>
      </c>
    </row>
    <row r="32" spans="1:10" x14ac:dyDescent="0.3">
      <c r="A32" s="2" t="s">
        <v>88</v>
      </c>
      <c r="B32" s="3">
        <v>46219</v>
      </c>
      <c r="C32" s="2" t="s">
        <v>89</v>
      </c>
      <c r="D32" s="2" t="s">
        <v>12</v>
      </c>
      <c r="E32" s="2" t="s">
        <v>13</v>
      </c>
      <c r="F32" s="2" t="s">
        <v>28</v>
      </c>
      <c r="G32" s="2" t="s">
        <v>22</v>
      </c>
      <c r="H32" s="2">
        <v>54</v>
      </c>
      <c r="I32" s="2" t="s">
        <v>16</v>
      </c>
      <c r="J32" s="2">
        <v>37000</v>
      </c>
    </row>
    <row r="33" spans="1:10" x14ac:dyDescent="0.3">
      <c r="A33" s="2" t="s">
        <v>90</v>
      </c>
      <c r="B33" s="3">
        <v>46219</v>
      </c>
      <c r="C33" s="2" t="s">
        <v>91</v>
      </c>
      <c r="D33" s="2" t="s">
        <v>33</v>
      </c>
      <c r="E33" s="2" t="s">
        <v>34</v>
      </c>
      <c r="F33" s="2" t="s">
        <v>49</v>
      </c>
      <c r="G33" s="2" t="s">
        <v>15</v>
      </c>
      <c r="H33" s="2">
        <v>11</v>
      </c>
      <c r="I33" s="2" t="s">
        <v>23</v>
      </c>
      <c r="J33" s="2">
        <v>9500</v>
      </c>
    </row>
    <row r="34" spans="1:10" x14ac:dyDescent="0.3">
      <c r="A34" s="2" t="s">
        <v>92</v>
      </c>
      <c r="B34" s="3">
        <v>46220</v>
      </c>
      <c r="C34" s="2" t="s">
        <v>93</v>
      </c>
      <c r="D34" s="2" t="s">
        <v>26</v>
      </c>
      <c r="E34" s="2" t="s">
        <v>27</v>
      </c>
      <c r="F34" s="2" t="s">
        <v>14</v>
      </c>
      <c r="G34" s="2" t="s">
        <v>22</v>
      </c>
      <c r="H34" s="2">
        <v>61</v>
      </c>
      <c r="I34" s="2" t="s">
        <v>16</v>
      </c>
      <c r="J34" s="2">
        <v>45000</v>
      </c>
    </row>
    <row r="35" spans="1:10" x14ac:dyDescent="0.3">
      <c r="A35" s="2" t="s">
        <v>94</v>
      </c>
      <c r="B35" s="3">
        <v>46220</v>
      </c>
      <c r="C35" s="2" t="s">
        <v>95</v>
      </c>
      <c r="D35" s="2" t="s">
        <v>19</v>
      </c>
      <c r="E35" s="2" t="s">
        <v>20</v>
      </c>
      <c r="F35" s="2" t="s">
        <v>42</v>
      </c>
      <c r="G35" s="2" t="s">
        <v>22</v>
      </c>
      <c r="H35" s="2">
        <v>39</v>
      </c>
      <c r="I35" s="2" t="s">
        <v>23</v>
      </c>
      <c r="J35" s="2">
        <v>19000</v>
      </c>
    </row>
    <row r="36" spans="1:10" x14ac:dyDescent="0.3">
      <c r="A36" s="2" t="s">
        <v>96</v>
      </c>
      <c r="B36" s="3">
        <v>46221</v>
      </c>
      <c r="C36" s="2" t="s">
        <v>97</v>
      </c>
      <c r="D36" s="2" t="s">
        <v>40</v>
      </c>
      <c r="E36" s="2" t="s">
        <v>41</v>
      </c>
      <c r="F36" s="2" t="s">
        <v>21</v>
      </c>
      <c r="G36" s="2" t="s">
        <v>15</v>
      </c>
      <c r="H36" s="2">
        <v>31</v>
      </c>
      <c r="I36" s="2" t="s">
        <v>23</v>
      </c>
      <c r="J36" s="2">
        <v>23000</v>
      </c>
    </row>
    <row r="37" spans="1:10" x14ac:dyDescent="0.3">
      <c r="A37" s="2" t="s">
        <v>98</v>
      </c>
      <c r="B37" s="3">
        <v>46221</v>
      </c>
      <c r="C37" s="2" t="s">
        <v>99</v>
      </c>
      <c r="D37" s="2" t="s">
        <v>12</v>
      </c>
      <c r="E37" s="2" t="s">
        <v>13</v>
      </c>
      <c r="F37" s="2" t="s">
        <v>28</v>
      </c>
      <c r="G37" s="2" t="s">
        <v>15</v>
      </c>
      <c r="H37" s="2">
        <v>48</v>
      </c>
      <c r="I37" s="2" t="s">
        <v>16</v>
      </c>
      <c r="J37" s="2">
        <v>34000</v>
      </c>
    </row>
    <row r="38" spans="1:10" x14ac:dyDescent="0.3">
      <c r="A38" s="2" t="s">
        <v>100</v>
      </c>
      <c r="B38" s="3">
        <v>46222</v>
      </c>
      <c r="C38" s="2"/>
      <c r="D38" s="2" t="s">
        <v>33</v>
      </c>
      <c r="E38" s="2" t="s">
        <v>34</v>
      </c>
      <c r="F38" s="2" t="s">
        <v>14</v>
      </c>
      <c r="G38" s="2" t="s">
        <v>15</v>
      </c>
      <c r="H38" s="2">
        <v>7</v>
      </c>
      <c r="I38" s="2" t="s">
        <v>23</v>
      </c>
      <c r="J38" s="2">
        <v>8000</v>
      </c>
    </row>
    <row r="39" spans="1:10" x14ac:dyDescent="0.3">
      <c r="A39" s="2" t="s">
        <v>101</v>
      </c>
      <c r="B39" s="3">
        <v>46222</v>
      </c>
      <c r="C39" s="2" t="s">
        <v>102</v>
      </c>
      <c r="D39" s="2" t="s">
        <v>26</v>
      </c>
      <c r="E39" s="2" t="s">
        <v>27</v>
      </c>
      <c r="F39" s="2" t="s">
        <v>42</v>
      </c>
      <c r="G39" s="2" t="s">
        <v>22</v>
      </c>
      <c r="H39" s="2">
        <v>53</v>
      </c>
      <c r="I39" s="2" t="s">
        <v>16</v>
      </c>
      <c r="J39" s="2">
        <v>41000</v>
      </c>
    </row>
    <row r="40" spans="1:10" x14ac:dyDescent="0.3">
      <c r="A40" s="2" t="s">
        <v>103</v>
      </c>
      <c r="B40" s="3">
        <v>46223</v>
      </c>
      <c r="C40" s="2" t="s">
        <v>104</v>
      </c>
      <c r="D40" s="2" t="s">
        <v>19</v>
      </c>
      <c r="E40" s="2" t="s">
        <v>20</v>
      </c>
      <c r="F40" s="2" t="s">
        <v>21</v>
      </c>
      <c r="G40" s="2" t="s">
        <v>15</v>
      </c>
      <c r="H40" s="2">
        <v>36</v>
      </c>
      <c r="I40" s="2" t="s">
        <v>23</v>
      </c>
      <c r="J40" s="2"/>
    </row>
    <row r="41" spans="1:10" x14ac:dyDescent="0.3">
      <c r="A41" s="2" t="s">
        <v>105</v>
      </c>
      <c r="B41" s="3">
        <v>46223</v>
      </c>
      <c r="C41" s="2" t="s">
        <v>106</v>
      </c>
      <c r="D41" s="2" t="s">
        <v>12</v>
      </c>
      <c r="E41" s="2" t="s">
        <v>13</v>
      </c>
      <c r="F41" s="2" t="s">
        <v>28</v>
      </c>
      <c r="G41" s="2" t="s">
        <v>22</v>
      </c>
      <c r="H41" s="2">
        <v>43</v>
      </c>
      <c r="I41" s="2" t="s">
        <v>16</v>
      </c>
      <c r="J41" s="2">
        <v>32000</v>
      </c>
    </row>
    <row r="42" spans="1:10" x14ac:dyDescent="0.3">
      <c r="A42" s="2" t="s">
        <v>107</v>
      </c>
      <c r="B42" s="3">
        <v>46224</v>
      </c>
      <c r="C42" s="2" t="s">
        <v>108</v>
      </c>
      <c r="D42" s="2" t="s">
        <v>33</v>
      </c>
      <c r="E42" s="2" t="s">
        <v>34</v>
      </c>
      <c r="F42" s="2" t="s">
        <v>49</v>
      </c>
      <c r="G42" s="2" t="s">
        <v>15</v>
      </c>
      <c r="H42" s="2">
        <v>13</v>
      </c>
      <c r="I42" s="2" t="s">
        <v>23</v>
      </c>
      <c r="J42" s="2">
        <v>10500</v>
      </c>
    </row>
    <row r="43" spans="1:10" x14ac:dyDescent="0.3">
      <c r="A43" s="2" t="s">
        <v>109</v>
      </c>
      <c r="B43" s="3">
        <v>46224</v>
      </c>
      <c r="C43" s="2" t="s">
        <v>110</v>
      </c>
      <c r="D43" s="2" t="s">
        <v>12</v>
      </c>
      <c r="E43" s="2" t="s">
        <v>13</v>
      </c>
      <c r="F43" s="2" t="s">
        <v>14</v>
      </c>
      <c r="G43" s="2" t="s">
        <v>22</v>
      </c>
      <c r="H43" s="2">
        <v>45</v>
      </c>
      <c r="I43" s="2" t="s">
        <v>16</v>
      </c>
      <c r="J43" s="2">
        <v>30000</v>
      </c>
    </row>
    <row r="44" spans="1:10" x14ac:dyDescent="0.3">
      <c r="A44" s="2" t="s">
        <v>111</v>
      </c>
      <c r="B44" s="3">
        <v>46225</v>
      </c>
      <c r="C44" s="2" t="s">
        <v>110</v>
      </c>
      <c r="D44" s="2" t="s">
        <v>12</v>
      </c>
      <c r="E44" s="2" t="s">
        <v>13</v>
      </c>
      <c r="F44" s="2" t="s">
        <v>14</v>
      </c>
      <c r="G44" s="2" t="s">
        <v>22</v>
      </c>
      <c r="H44" s="2">
        <v>45</v>
      </c>
      <c r="I44" s="2" t="s">
        <v>16</v>
      </c>
      <c r="J44" s="2">
        <v>30000</v>
      </c>
    </row>
    <row r="45" spans="1:10" x14ac:dyDescent="0.3">
      <c r="A45" s="2" t="s">
        <v>112</v>
      </c>
      <c r="B45" s="3">
        <v>46225</v>
      </c>
      <c r="C45" s="2" t="s">
        <v>25</v>
      </c>
      <c r="D45" s="2" t="s">
        <v>26</v>
      </c>
      <c r="E45" s="2" t="s">
        <v>27</v>
      </c>
      <c r="F45" s="2" t="s">
        <v>21</v>
      </c>
      <c r="G45" s="2" t="s">
        <v>15</v>
      </c>
      <c r="H45" s="2">
        <v>34</v>
      </c>
      <c r="I45" s="2" t="s">
        <v>23</v>
      </c>
      <c r="J45" s="2">
        <v>36000</v>
      </c>
    </row>
    <row r="46" spans="1:10" x14ac:dyDescent="0.3">
      <c r="A46" s="2" t="s">
        <v>113</v>
      </c>
      <c r="B46" s="3">
        <v>46226</v>
      </c>
      <c r="C46" s="2" t="s">
        <v>114</v>
      </c>
      <c r="D46" s="2" t="s">
        <v>19</v>
      </c>
      <c r="E46" s="2" t="s">
        <v>20</v>
      </c>
      <c r="F46" s="2" t="s">
        <v>28</v>
      </c>
      <c r="G46" s="2" t="s">
        <v>22</v>
      </c>
      <c r="H46" s="2">
        <v>50</v>
      </c>
      <c r="I46" s="2" t="s">
        <v>16</v>
      </c>
      <c r="J46" s="2">
        <v>28000</v>
      </c>
    </row>
    <row r="47" spans="1:10" x14ac:dyDescent="0.3">
      <c r="A47" s="2" t="s">
        <v>115</v>
      </c>
      <c r="B47" s="3">
        <v>46226</v>
      </c>
      <c r="C47" s="2" t="s">
        <v>116</v>
      </c>
      <c r="D47" s="2" t="s">
        <v>12</v>
      </c>
      <c r="E47" s="2" t="s">
        <v>13</v>
      </c>
      <c r="F47" s="2" t="s">
        <v>42</v>
      </c>
      <c r="G47" s="2" t="s">
        <v>15</v>
      </c>
      <c r="H47" s="2">
        <v>39</v>
      </c>
      <c r="I47" s="2" t="s">
        <v>23</v>
      </c>
      <c r="J47" s="2">
        <v>29000</v>
      </c>
    </row>
    <row r="48" spans="1:10" x14ac:dyDescent="0.3">
      <c r="A48" s="2" t="s">
        <v>117</v>
      </c>
      <c r="B48" s="3">
        <v>46227</v>
      </c>
      <c r="C48" s="2" t="s">
        <v>118</v>
      </c>
      <c r="D48" s="2" t="s">
        <v>40</v>
      </c>
      <c r="E48" s="2" t="s">
        <v>41</v>
      </c>
      <c r="F48" s="2" t="s">
        <v>14</v>
      </c>
      <c r="G48" s="2" t="s">
        <v>15</v>
      </c>
      <c r="H48" s="2">
        <v>30</v>
      </c>
      <c r="I48" s="2" t="s">
        <v>23</v>
      </c>
      <c r="J48" s="2">
        <v>22000</v>
      </c>
    </row>
    <row r="49" spans="1:10" x14ac:dyDescent="0.3">
      <c r="A49" s="2" t="s">
        <v>119</v>
      </c>
      <c r="B49" s="3">
        <v>46227</v>
      </c>
      <c r="C49" s="2" t="s">
        <v>44</v>
      </c>
      <c r="D49" s="2" t="s">
        <v>12</v>
      </c>
      <c r="E49" s="2" t="s">
        <v>13</v>
      </c>
      <c r="F49" s="2" t="s">
        <v>21</v>
      </c>
      <c r="G49" s="2" t="s">
        <v>22</v>
      </c>
      <c r="H49" s="2">
        <v>46</v>
      </c>
      <c r="I49" s="2" t="s">
        <v>16</v>
      </c>
      <c r="J49" s="2">
        <v>31000</v>
      </c>
    </row>
    <row r="50" spans="1:10" x14ac:dyDescent="0.3">
      <c r="A50" s="2" t="s">
        <v>120</v>
      </c>
      <c r="B50" s="3">
        <v>46228</v>
      </c>
      <c r="C50" s="2" t="s">
        <v>44</v>
      </c>
      <c r="D50" s="2" t="s">
        <v>12</v>
      </c>
      <c r="E50" s="2" t="s">
        <v>13</v>
      </c>
      <c r="F50" s="2" t="s">
        <v>121</v>
      </c>
      <c r="G50" s="2" t="s">
        <v>22</v>
      </c>
      <c r="H50" s="2">
        <v>46</v>
      </c>
      <c r="I50" s="2" t="s">
        <v>16</v>
      </c>
      <c r="J50" s="2">
        <v>31000</v>
      </c>
    </row>
    <row r="51" spans="1:10" x14ac:dyDescent="0.3">
      <c r="A51" s="2" t="s">
        <v>122</v>
      </c>
      <c r="B51" s="3">
        <v>46228</v>
      </c>
      <c r="C51" s="2" t="s">
        <v>123</v>
      </c>
      <c r="D51" s="2" t="s">
        <v>26</v>
      </c>
      <c r="E51" s="2" t="s">
        <v>27</v>
      </c>
      <c r="F51" s="2" t="s">
        <v>28</v>
      </c>
      <c r="G51" s="2" t="s">
        <v>22</v>
      </c>
      <c r="H51" s="2">
        <v>57</v>
      </c>
      <c r="I51" s="2" t="s">
        <v>16</v>
      </c>
      <c r="J51" s="2">
        <v>43000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E274-0F37-412F-888A-C9C1C9F06B3A}">
  <dimension ref="A1:J51"/>
  <sheetViews>
    <sheetView zoomScale="74" workbookViewId="0">
      <selection activeCell="E6" sqref="E6"/>
    </sheetView>
  </sheetViews>
  <sheetFormatPr defaultRowHeight="14.4" x14ac:dyDescent="0.3"/>
  <cols>
    <col min="1" max="1" width="11.109375" customWidth="1"/>
    <col min="2" max="2" width="10.33203125" bestFit="1" customWidth="1"/>
    <col min="3" max="3" width="14.33203125" customWidth="1"/>
    <col min="4" max="4" width="13" customWidth="1"/>
    <col min="5" max="5" width="15.33203125" customWidth="1"/>
    <col min="6" max="6" width="14.88671875" customWidth="1"/>
    <col min="7" max="7" width="9" customWidth="1"/>
    <col min="8" max="8" width="6.109375" customWidth="1"/>
    <col min="9" max="9" width="16.109375" customWidth="1"/>
    <col min="10" max="10" width="12.66406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3">
        <v>46204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25</v>
      </c>
      <c r="I2" s="2" t="s">
        <v>16</v>
      </c>
      <c r="J2" s="2">
        <v>25000</v>
      </c>
    </row>
    <row r="3" spans="1:10" ht="28.8" x14ac:dyDescent="0.3">
      <c r="A3" s="2" t="s">
        <v>17</v>
      </c>
      <c r="B3" s="3">
        <v>46204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40</v>
      </c>
      <c r="I3" s="2" t="s">
        <v>23</v>
      </c>
      <c r="J3" s="2">
        <v>18000</v>
      </c>
    </row>
    <row r="4" spans="1:10" ht="28.8" x14ac:dyDescent="0.3">
      <c r="A4" s="2" t="s">
        <v>24</v>
      </c>
      <c r="B4" s="3">
        <v>46205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>
        <v>35</v>
      </c>
      <c r="I4" s="2" t="s">
        <v>16</v>
      </c>
      <c r="J4" s="2">
        <v>32000</v>
      </c>
    </row>
    <row r="5" spans="1:10" ht="28.8" x14ac:dyDescent="0.3">
      <c r="A5" s="2" t="s">
        <v>29</v>
      </c>
      <c r="B5" s="3">
        <v>46205</v>
      </c>
      <c r="C5" s="2" t="s">
        <v>30</v>
      </c>
      <c r="D5" s="2" t="s">
        <v>12</v>
      </c>
      <c r="E5" s="2" t="s">
        <v>13</v>
      </c>
      <c r="F5" s="2" t="s">
        <v>14</v>
      </c>
      <c r="G5" s="2" t="s">
        <v>22</v>
      </c>
      <c r="H5" s="2">
        <v>50</v>
      </c>
      <c r="I5" s="2" t="s">
        <v>23</v>
      </c>
      <c r="J5" s="2">
        <v>27000</v>
      </c>
    </row>
    <row r="6" spans="1:10" x14ac:dyDescent="0.3">
      <c r="A6" s="2" t="s">
        <v>31</v>
      </c>
      <c r="B6" s="3">
        <v>46206</v>
      </c>
      <c r="C6" s="2" t="s">
        <v>32</v>
      </c>
      <c r="D6" s="2" t="s">
        <v>33</v>
      </c>
      <c r="E6" s="2" t="s">
        <v>34</v>
      </c>
      <c r="F6" s="2" t="s">
        <v>125</v>
      </c>
      <c r="G6" s="2" t="s">
        <v>15</v>
      </c>
      <c r="H6" s="2">
        <v>10</v>
      </c>
      <c r="I6" s="2" t="s">
        <v>23</v>
      </c>
      <c r="J6" s="2">
        <v>12000</v>
      </c>
    </row>
    <row r="7" spans="1:10" x14ac:dyDescent="0.3">
      <c r="A7" s="2" t="s">
        <v>36</v>
      </c>
      <c r="B7" s="3">
        <v>46206</v>
      </c>
      <c r="C7" s="2" t="s">
        <v>124</v>
      </c>
      <c r="D7" s="2" t="s">
        <v>19</v>
      </c>
      <c r="E7" s="2" t="s">
        <v>20</v>
      </c>
      <c r="F7" s="2" t="s">
        <v>37</v>
      </c>
      <c r="G7" s="2" t="s">
        <v>22</v>
      </c>
      <c r="H7" s="2">
        <v>30</v>
      </c>
      <c r="I7" s="2" t="s">
        <v>16</v>
      </c>
      <c r="J7" s="2">
        <v>22000</v>
      </c>
    </row>
    <row r="8" spans="1:10" x14ac:dyDescent="0.3">
      <c r="A8" s="2" t="s">
        <v>38</v>
      </c>
      <c r="B8" s="3">
        <v>46207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15</v>
      </c>
      <c r="H8" s="2">
        <v>28</v>
      </c>
      <c r="I8" s="2" t="s">
        <v>23</v>
      </c>
      <c r="J8" s="2">
        <v>0</v>
      </c>
    </row>
    <row r="9" spans="1:10" ht="28.8" x14ac:dyDescent="0.3">
      <c r="A9" s="2" t="s">
        <v>43</v>
      </c>
      <c r="B9" s="3">
        <v>46207</v>
      </c>
      <c r="C9" s="2" t="s">
        <v>44</v>
      </c>
      <c r="D9" s="2" t="s">
        <v>12</v>
      </c>
      <c r="E9" s="2" t="s">
        <v>13</v>
      </c>
      <c r="F9" s="2" t="s">
        <v>21</v>
      </c>
      <c r="G9" s="2" t="s">
        <v>22</v>
      </c>
      <c r="H9" s="2">
        <v>45</v>
      </c>
      <c r="I9" s="2" t="s">
        <v>16</v>
      </c>
      <c r="J9" s="2">
        <v>29000</v>
      </c>
    </row>
    <row r="10" spans="1:10" x14ac:dyDescent="0.3">
      <c r="A10" s="2" t="s">
        <v>45</v>
      </c>
      <c r="B10" s="3">
        <v>46208</v>
      </c>
      <c r="C10" s="2" t="s">
        <v>46</v>
      </c>
      <c r="D10" s="2" t="s">
        <v>26</v>
      </c>
      <c r="E10" s="2" t="s">
        <v>27</v>
      </c>
      <c r="F10" s="2" t="s">
        <v>14</v>
      </c>
      <c r="G10" s="2" t="s">
        <v>15</v>
      </c>
      <c r="H10" s="2">
        <v>55</v>
      </c>
      <c r="I10" s="2" t="s">
        <v>23</v>
      </c>
      <c r="J10" s="2">
        <v>35000</v>
      </c>
    </row>
    <row r="11" spans="1:10" x14ac:dyDescent="0.3">
      <c r="A11" s="2" t="s">
        <v>47</v>
      </c>
      <c r="B11" s="3">
        <v>46209</v>
      </c>
      <c r="C11" s="2" t="s">
        <v>48</v>
      </c>
      <c r="D11" s="2" t="s">
        <v>19</v>
      </c>
      <c r="E11" s="2" t="s">
        <v>20</v>
      </c>
      <c r="F11" s="2" t="s">
        <v>49</v>
      </c>
      <c r="G11" s="2" t="s">
        <v>15</v>
      </c>
      <c r="H11" s="2">
        <v>22</v>
      </c>
      <c r="I11" s="2" t="s">
        <v>23</v>
      </c>
      <c r="J11" s="2">
        <v>15000</v>
      </c>
    </row>
    <row r="12" spans="1:10" x14ac:dyDescent="0.3">
      <c r="A12" s="2" t="s">
        <v>50</v>
      </c>
      <c r="B12" s="3">
        <v>46209</v>
      </c>
      <c r="C12" s="2" t="s">
        <v>51</v>
      </c>
      <c r="D12" s="2" t="s">
        <v>12</v>
      </c>
      <c r="E12" s="2" t="s">
        <v>13</v>
      </c>
      <c r="F12" s="2" t="s">
        <v>42</v>
      </c>
      <c r="G12" s="2" t="s">
        <v>22</v>
      </c>
      <c r="H12" s="2">
        <v>60</v>
      </c>
      <c r="I12" s="2" t="s">
        <v>16</v>
      </c>
      <c r="J12" s="2">
        <v>42000</v>
      </c>
    </row>
    <row r="13" spans="1:10" x14ac:dyDescent="0.3">
      <c r="A13" s="2" t="s">
        <v>52</v>
      </c>
      <c r="B13" s="3">
        <v>46210</v>
      </c>
      <c r="C13" s="2" t="s">
        <v>53</v>
      </c>
      <c r="D13" s="2" t="s">
        <v>33</v>
      </c>
      <c r="E13" s="2" t="s">
        <v>34</v>
      </c>
      <c r="F13" s="2" t="s">
        <v>21</v>
      </c>
      <c r="G13" s="2" t="s">
        <v>15</v>
      </c>
      <c r="H13" s="2">
        <v>8</v>
      </c>
      <c r="I13" s="2" t="s">
        <v>23</v>
      </c>
      <c r="J13" s="2">
        <v>9000</v>
      </c>
    </row>
    <row r="14" spans="1:10" x14ac:dyDescent="0.3">
      <c r="A14" s="2" t="s">
        <v>54</v>
      </c>
      <c r="B14" s="3">
        <v>46210</v>
      </c>
      <c r="C14" s="2" t="s">
        <v>55</v>
      </c>
      <c r="D14" s="2" t="s">
        <v>40</v>
      </c>
      <c r="E14" s="2" t="s">
        <v>41</v>
      </c>
      <c r="F14" s="2" t="s">
        <v>37</v>
      </c>
      <c r="G14" s="2" t="s">
        <v>22</v>
      </c>
      <c r="H14" s="2">
        <v>38</v>
      </c>
      <c r="I14" s="2" t="s">
        <v>16</v>
      </c>
      <c r="J14" s="2">
        <v>26000</v>
      </c>
    </row>
    <row r="15" spans="1:10" x14ac:dyDescent="0.3">
      <c r="A15" s="2" t="s">
        <v>56</v>
      </c>
      <c r="B15" s="3">
        <v>46211</v>
      </c>
      <c r="C15" s="2" t="s">
        <v>57</v>
      </c>
      <c r="D15" s="2" t="s">
        <v>12</v>
      </c>
      <c r="E15" s="2" t="s">
        <v>13</v>
      </c>
      <c r="F15" s="2" t="s">
        <v>14</v>
      </c>
      <c r="G15" s="2" t="s">
        <v>15</v>
      </c>
      <c r="H15" s="2">
        <v>42</v>
      </c>
      <c r="I15" s="2" t="s">
        <v>23</v>
      </c>
      <c r="J15" s="2">
        <v>31000</v>
      </c>
    </row>
    <row r="16" spans="1:10" x14ac:dyDescent="0.3">
      <c r="A16" s="2" t="s">
        <v>58</v>
      </c>
      <c r="B16" s="3">
        <v>46211</v>
      </c>
      <c r="C16" s="2" t="s">
        <v>59</v>
      </c>
      <c r="D16" s="2" t="s">
        <v>26</v>
      </c>
      <c r="E16" s="2" t="s">
        <v>27</v>
      </c>
      <c r="F16" s="2" t="s">
        <v>28</v>
      </c>
      <c r="G16" s="2" t="s">
        <v>22</v>
      </c>
      <c r="H16" s="2">
        <v>47</v>
      </c>
      <c r="I16" s="2" t="s">
        <v>16</v>
      </c>
      <c r="J16" s="2">
        <v>38000</v>
      </c>
    </row>
    <row r="17" spans="1:10" x14ac:dyDescent="0.3">
      <c r="A17" s="2" t="s">
        <v>60</v>
      </c>
      <c r="B17" s="3">
        <v>46212</v>
      </c>
      <c r="C17" s="2" t="s">
        <v>61</v>
      </c>
      <c r="D17" s="2" t="s">
        <v>19</v>
      </c>
      <c r="E17" s="2" t="s">
        <v>20</v>
      </c>
      <c r="F17" s="2" t="s">
        <v>21</v>
      </c>
      <c r="G17" s="2" t="s">
        <v>15</v>
      </c>
      <c r="H17" s="2">
        <v>33</v>
      </c>
      <c r="I17" s="2" t="s">
        <v>23</v>
      </c>
      <c r="J17" s="2">
        <v>17000</v>
      </c>
    </row>
    <row r="18" spans="1:10" x14ac:dyDescent="0.3">
      <c r="A18" s="2" t="s">
        <v>62</v>
      </c>
      <c r="B18" s="3">
        <v>46212</v>
      </c>
      <c r="C18" s="2" t="s">
        <v>63</v>
      </c>
      <c r="D18" s="2" t="s">
        <v>12</v>
      </c>
      <c r="E18" s="2" t="s">
        <v>13</v>
      </c>
      <c r="F18" s="2" t="s">
        <v>42</v>
      </c>
      <c r="G18" s="2" t="s">
        <v>22</v>
      </c>
      <c r="H18" s="2">
        <v>51</v>
      </c>
      <c r="I18" s="2" t="s">
        <v>16</v>
      </c>
      <c r="J18" s="2">
        <v>36000</v>
      </c>
    </row>
    <row r="19" spans="1:10" x14ac:dyDescent="0.3">
      <c r="A19" s="2" t="s">
        <v>64</v>
      </c>
      <c r="B19" s="3">
        <v>46213</v>
      </c>
      <c r="C19" s="2" t="s">
        <v>65</v>
      </c>
      <c r="D19" s="2" t="s">
        <v>33</v>
      </c>
      <c r="E19" s="2" t="s">
        <v>34</v>
      </c>
      <c r="F19" s="2" t="s">
        <v>28</v>
      </c>
      <c r="G19" s="2" t="s">
        <v>15</v>
      </c>
      <c r="H19" s="2">
        <v>12</v>
      </c>
      <c r="I19" s="2" t="s">
        <v>23</v>
      </c>
      <c r="J19" s="2">
        <v>10000</v>
      </c>
    </row>
    <row r="20" spans="1:10" x14ac:dyDescent="0.3">
      <c r="A20" s="2" t="s">
        <v>66</v>
      </c>
      <c r="B20" s="3">
        <v>46213</v>
      </c>
      <c r="C20" s="2" t="s">
        <v>67</v>
      </c>
      <c r="D20" s="2" t="s">
        <v>12</v>
      </c>
      <c r="E20" s="2" t="s">
        <v>13</v>
      </c>
      <c r="F20" s="2" t="s">
        <v>14</v>
      </c>
      <c r="G20" s="2" t="s">
        <v>22</v>
      </c>
      <c r="H20" s="2">
        <v>44</v>
      </c>
      <c r="I20" s="2" t="s">
        <v>16</v>
      </c>
      <c r="J20" s="2">
        <v>33000</v>
      </c>
    </row>
    <row r="21" spans="1:10" x14ac:dyDescent="0.3">
      <c r="A21" s="2" t="s">
        <v>68</v>
      </c>
      <c r="B21" s="3">
        <v>46214</v>
      </c>
      <c r="C21" s="2" t="s">
        <v>69</v>
      </c>
      <c r="D21" s="2" t="s">
        <v>40</v>
      </c>
      <c r="E21" s="2" t="s">
        <v>41</v>
      </c>
      <c r="F21" s="2" t="s">
        <v>49</v>
      </c>
      <c r="G21" s="2" t="s">
        <v>15</v>
      </c>
      <c r="H21" s="2">
        <v>29</v>
      </c>
      <c r="I21" s="2" t="s">
        <v>23</v>
      </c>
      <c r="J21" s="2">
        <v>20000</v>
      </c>
    </row>
    <row r="22" spans="1:10" x14ac:dyDescent="0.3">
      <c r="A22" s="2" t="s">
        <v>70</v>
      </c>
      <c r="B22" s="3">
        <v>46214</v>
      </c>
      <c r="C22" s="2" t="s">
        <v>71</v>
      </c>
      <c r="D22" s="2" t="s">
        <v>19</v>
      </c>
      <c r="E22" s="2" t="s">
        <v>20</v>
      </c>
      <c r="F22" s="2" t="s">
        <v>21</v>
      </c>
      <c r="G22" s="2" t="s">
        <v>22</v>
      </c>
      <c r="H22" s="2">
        <v>41</v>
      </c>
      <c r="I22" s="2" t="s">
        <v>23</v>
      </c>
      <c r="J22" s="2">
        <v>21000</v>
      </c>
    </row>
    <row r="23" spans="1:10" x14ac:dyDescent="0.3">
      <c r="A23" s="2" t="s">
        <v>72</v>
      </c>
      <c r="B23" s="3">
        <v>46215</v>
      </c>
      <c r="C23" s="2" t="s">
        <v>73</v>
      </c>
      <c r="D23" s="2" t="s">
        <v>26</v>
      </c>
      <c r="E23" s="2" t="s">
        <v>27</v>
      </c>
      <c r="F23" s="2" t="s">
        <v>28</v>
      </c>
      <c r="G23" s="2" t="s">
        <v>15</v>
      </c>
      <c r="H23" s="2">
        <v>52</v>
      </c>
      <c r="I23" s="2" t="s">
        <v>16</v>
      </c>
      <c r="J23" s="2">
        <v>40000</v>
      </c>
    </row>
    <row r="24" spans="1:10" x14ac:dyDescent="0.3">
      <c r="A24" s="2" t="s">
        <v>74</v>
      </c>
      <c r="B24" s="3">
        <v>46215</v>
      </c>
      <c r="C24" s="2" t="s">
        <v>75</v>
      </c>
      <c r="D24" s="2" t="s">
        <v>12</v>
      </c>
      <c r="E24" s="2" t="s">
        <v>13</v>
      </c>
      <c r="F24" s="2" t="s">
        <v>14</v>
      </c>
      <c r="G24" s="2" t="s">
        <v>15</v>
      </c>
      <c r="H24" s="2">
        <v>37</v>
      </c>
      <c r="I24" s="2" t="s">
        <v>23</v>
      </c>
      <c r="J24" s="2">
        <v>28000</v>
      </c>
    </row>
    <row r="25" spans="1:10" x14ac:dyDescent="0.3">
      <c r="A25" s="2" t="s">
        <v>76</v>
      </c>
      <c r="B25" s="3">
        <v>46216</v>
      </c>
      <c r="C25" s="2" t="s">
        <v>77</v>
      </c>
      <c r="D25" s="2" t="s">
        <v>19</v>
      </c>
      <c r="E25" s="2" t="s">
        <v>20</v>
      </c>
      <c r="F25" s="2" t="s">
        <v>42</v>
      </c>
      <c r="G25" s="2" t="s">
        <v>22</v>
      </c>
      <c r="H25" s="2">
        <v>49</v>
      </c>
      <c r="I25" s="2" t="s">
        <v>16</v>
      </c>
      <c r="J25" s="2">
        <v>24000</v>
      </c>
    </row>
    <row r="26" spans="1:10" x14ac:dyDescent="0.3">
      <c r="A26" s="2" t="s">
        <v>78</v>
      </c>
      <c r="B26" s="3">
        <v>46216</v>
      </c>
      <c r="C26" s="2" t="s">
        <v>79</v>
      </c>
      <c r="D26" s="2" t="s">
        <v>33</v>
      </c>
      <c r="E26" s="2" t="s">
        <v>34</v>
      </c>
      <c r="F26" s="2" t="s">
        <v>21</v>
      </c>
      <c r="G26" s="2" t="s">
        <v>15</v>
      </c>
      <c r="H26" s="2">
        <v>9</v>
      </c>
      <c r="I26" s="2" t="s">
        <v>23</v>
      </c>
      <c r="J26" s="2">
        <v>11000</v>
      </c>
    </row>
    <row r="27" spans="1:10" x14ac:dyDescent="0.3">
      <c r="A27" s="2" t="s">
        <v>80</v>
      </c>
      <c r="B27" s="3">
        <v>46217</v>
      </c>
      <c r="C27" s="2" t="s">
        <v>81</v>
      </c>
      <c r="D27" s="2" t="s">
        <v>26</v>
      </c>
      <c r="E27" s="2" t="s">
        <v>27</v>
      </c>
      <c r="F27" s="2" t="s">
        <v>28</v>
      </c>
      <c r="G27" s="2" t="s">
        <v>22</v>
      </c>
      <c r="H27" s="2">
        <v>58</v>
      </c>
      <c r="I27" s="2" t="s">
        <v>16</v>
      </c>
      <c r="J27" s="2">
        <v>39000</v>
      </c>
    </row>
    <row r="28" spans="1:10" x14ac:dyDescent="0.3">
      <c r="A28" s="2" t="s">
        <v>82</v>
      </c>
      <c r="B28" s="3">
        <v>46217</v>
      </c>
      <c r="C28" s="2" t="s">
        <v>83</v>
      </c>
      <c r="D28" s="2" t="s">
        <v>12</v>
      </c>
      <c r="E28" s="2" t="s">
        <v>13</v>
      </c>
      <c r="F28" s="2" t="s">
        <v>14</v>
      </c>
      <c r="G28" s="2" t="s">
        <v>15</v>
      </c>
      <c r="H28" s="2">
        <v>46</v>
      </c>
      <c r="I28" s="2" t="s">
        <v>23</v>
      </c>
      <c r="J28" s="2">
        <v>30000</v>
      </c>
    </row>
    <row r="29" spans="1:10" x14ac:dyDescent="0.3">
      <c r="A29" s="2" t="s">
        <v>84</v>
      </c>
      <c r="B29" s="3">
        <v>46218</v>
      </c>
      <c r="C29" s="2" t="s">
        <v>85</v>
      </c>
      <c r="D29" s="2" t="s">
        <v>40</v>
      </c>
      <c r="E29" s="2" t="s">
        <v>41</v>
      </c>
      <c r="F29" s="2" t="s">
        <v>42</v>
      </c>
      <c r="G29" s="2" t="s">
        <v>22</v>
      </c>
      <c r="H29" s="2">
        <v>35</v>
      </c>
      <c r="I29" s="2" t="s">
        <v>16</v>
      </c>
      <c r="J29" s="2">
        <v>25000</v>
      </c>
    </row>
    <row r="30" spans="1:10" x14ac:dyDescent="0.3">
      <c r="A30" s="2" t="s">
        <v>86</v>
      </c>
      <c r="B30" s="3">
        <v>46218</v>
      </c>
      <c r="C30" s="2" t="s">
        <v>87</v>
      </c>
      <c r="D30" s="2" t="s">
        <v>19</v>
      </c>
      <c r="E30" s="2" t="s">
        <v>20</v>
      </c>
      <c r="F30" s="2" t="s">
        <v>21</v>
      </c>
      <c r="G30" s="2" t="s">
        <v>15</v>
      </c>
      <c r="H30" s="2">
        <v>27</v>
      </c>
      <c r="I30" s="2" t="s">
        <v>23</v>
      </c>
      <c r="J30" s="2">
        <v>16000</v>
      </c>
    </row>
    <row r="31" spans="1:10" x14ac:dyDescent="0.3">
      <c r="A31" s="2" t="s">
        <v>88</v>
      </c>
      <c r="B31" s="3">
        <v>46219</v>
      </c>
      <c r="C31" s="2" t="s">
        <v>89</v>
      </c>
      <c r="D31" s="2" t="s">
        <v>12</v>
      </c>
      <c r="E31" s="2" t="s">
        <v>13</v>
      </c>
      <c r="F31" s="2" t="s">
        <v>28</v>
      </c>
      <c r="G31" s="2" t="s">
        <v>22</v>
      </c>
      <c r="H31" s="2">
        <v>54</v>
      </c>
      <c r="I31" s="2" t="s">
        <v>16</v>
      </c>
      <c r="J31" s="2">
        <v>37000</v>
      </c>
    </row>
    <row r="32" spans="1:10" x14ac:dyDescent="0.3">
      <c r="A32" s="2" t="s">
        <v>90</v>
      </c>
      <c r="B32" s="3">
        <v>46219</v>
      </c>
      <c r="C32" s="2" t="s">
        <v>91</v>
      </c>
      <c r="D32" s="2" t="s">
        <v>33</v>
      </c>
      <c r="E32" s="2" t="s">
        <v>34</v>
      </c>
      <c r="F32" s="2" t="s">
        <v>49</v>
      </c>
      <c r="G32" s="2" t="s">
        <v>15</v>
      </c>
      <c r="H32" s="2">
        <v>11</v>
      </c>
      <c r="I32" s="2" t="s">
        <v>23</v>
      </c>
      <c r="J32" s="2">
        <v>9500</v>
      </c>
    </row>
    <row r="33" spans="1:10" x14ac:dyDescent="0.3">
      <c r="A33" s="2" t="s">
        <v>92</v>
      </c>
      <c r="B33" s="3">
        <v>46220</v>
      </c>
      <c r="C33" s="2" t="s">
        <v>93</v>
      </c>
      <c r="D33" s="2" t="s">
        <v>26</v>
      </c>
      <c r="E33" s="2" t="s">
        <v>27</v>
      </c>
      <c r="F33" s="2" t="s">
        <v>14</v>
      </c>
      <c r="G33" s="2" t="s">
        <v>22</v>
      </c>
      <c r="H33" s="2">
        <v>61</v>
      </c>
      <c r="I33" s="2" t="s">
        <v>16</v>
      </c>
      <c r="J33" s="2">
        <v>45000</v>
      </c>
    </row>
    <row r="34" spans="1:10" x14ac:dyDescent="0.3">
      <c r="A34" s="2" t="s">
        <v>94</v>
      </c>
      <c r="B34" s="3">
        <v>46220</v>
      </c>
      <c r="C34" s="2" t="s">
        <v>95</v>
      </c>
      <c r="D34" s="2" t="s">
        <v>19</v>
      </c>
      <c r="E34" s="2" t="s">
        <v>20</v>
      </c>
      <c r="F34" s="2" t="s">
        <v>42</v>
      </c>
      <c r="G34" s="2" t="s">
        <v>22</v>
      </c>
      <c r="H34" s="2">
        <v>39</v>
      </c>
      <c r="I34" s="2" t="s">
        <v>23</v>
      </c>
      <c r="J34" s="2">
        <v>19000</v>
      </c>
    </row>
    <row r="35" spans="1:10" x14ac:dyDescent="0.3">
      <c r="A35" s="2" t="s">
        <v>96</v>
      </c>
      <c r="B35" s="3">
        <v>46221</v>
      </c>
      <c r="C35" s="2" t="s">
        <v>97</v>
      </c>
      <c r="D35" s="2" t="s">
        <v>40</v>
      </c>
      <c r="E35" s="2" t="s">
        <v>41</v>
      </c>
      <c r="F35" s="2" t="s">
        <v>21</v>
      </c>
      <c r="G35" s="2" t="s">
        <v>15</v>
      </c>
      <c r="H35" s="2">
        <v>31</v>
      </c>
      <c r="I35" s="2" t="s">
        <v>23</v>
      </c>
      <c r="J35" s="2">
        <v>23000</v>
      </c>
    </row>
    <row r="36" spans="1:10" x14ac:dyDescent="0.3">
      <c r="A36" s="2" t="s">
        <v>98</v>
      </c>
      <c r="B36" s="3">
        <v>46221</v>
      </c>
      <c r="C36" s="2" t="s">
        <v>99</v>
      </c>
      <c r="D36" s="2" t="s">
        <v>12</v>
      </c>
      <c r="E36" s="2" t="s">
        <v>13</v>
      </c>
      <c r="F36" s="2" t="s">
        <v>28</v>
      </c>
      <c r="G36" s="2" t="s">
        <v>15</v>
      </c>
      <c r="H36" s="2">
        <v>48</v>
      </c>
      <c r="I36" s="2" t="s">
        <v>16</v>
      </c>
      <c r="J36" s="2">
        <v>34000</v>
      </c>
    </row>
    <row r="37" spans="1:10" x14ac:dyDescent="0.3">
      <c r="A37" s="2" t="s">
        <v>100</v>
      </c>
      <c r="B37" s="3">
        <v>46222</v>
      </c>
      <c r="C37" s="2" t="s">
        <v>124</v>
      </c>
      <c r="D37" s="2" t="s">
        <v>33</v>
      </c>
      <c r="E37" s="2" t="s">
        <v>34</v>
      </c>
      <c r="F37" s="2" t="s">
        <v>14</v>
      </c>
      <c r="G37" s="2" t="s">
        <v>15</v>
      </c>
      <c r="H37" s="2">
        <v>7</v>
      </c>
      <c r="I37" s="2" t="s">
        <v>23</v>
      </c>
      <c r="J37" s="2">
        <v>8000</v>
      </c>
    </row>
    <row r="38" spans="1:10" x14ac:dyDescent="0.3">
      <c r="A38" s="2" t="s">
        <v>101</v>
      </c>
      <c r="B38" s="3">
        <v>46222</v>
      </c>
      <c r="C38" s="2" t="s">
        <v>102</v>
      </c>
      <c r="D38" s="2" t="s">
        <v>26</v>
      </c>
      <c r="E38" s="2" t="s">
        <v>27</v>
      </c>
      <c r="F38" s="2" t="s">
        <v>42</v>
      </c>
      <c r="G38" s="2" t="s">
        <v>22</v>
      </c>
      <c r="H38" s="2">
        <v>53</v>
      </c>
      <c r="I38" s="2" t="s">
        <v>16</v>
      </c>
      <c r="J38" s="2">
        <v>41000</v>
      </c>
    </row>
    <row r="39" spans="1:10" x14ac:dyDescent="0.3">
      <c r="A39" s="2" t="s">
        <v>103</v>
      </c>
      <c r="B39" s="3">
        <v>46223</v>
      </c>
      <c r="C39" s="2" t="s">
        <v>104</v>
      </c>
      <c r="D39" s="2" t="s">
        <v>19</v>
      </c>
      <c r="E39" s="2" t="s">
        <v>20</v>
      </c>
      <c r="F39" s="2" t="s">
        <v>21</v>
      </c>
      <c r="G39" s="2" t="s">
        <v>15</v>
      </c>
      <c r="H39" s="2">
        <v>36</v>
      </c>
      <c r="I39" s="2" t="s">
        <v>23</v>
      </c>
      <c r="J39" s="2">
        <v>0</v>
      </c>
    </row>
    <row r="40" spans="1:10" x14ac:dyDescent="0.3">
      <c r="A40" s="2" t="s">
        <v>105</v>
      </c>
      <c r="B40" s="3">
        <v>46223</v>
      </c>
      <c r="C40" s="2" t="s">
        <v>106</v>
      </c>
      <c r="D40" s="2" t="s">
        <v>12</v>
      </c>
      <c r="E40" s="2" t="s">
        <v>13</v>
      </c>
      <c r="F40" s="2" t="s">
        <v>28</v>
      </c>
      <c r="G40" s="2" t="s">
        <v>22</v>
      </c>
      <c r="H40" s="2">
        <v>43</v>
      </c>
      <c r="I40" s="2" t="s">
        <v>16</v>
      </c>
      <c r="J40" s="2">
        <v>32000</v>
      </c>
    </row>
    <row r="41" spans="1:10" x14ac:dyDescent="0.3">
      <c r="A41" s="2" t="s">
        <v>107</v>
      </c>
      <c r="B41" s="3">
        <v>46224</v>
      </c>
      <c r="C41" s="2" t="s">
        <v>108</v>
      </c>
      <c r="D41" s="2" t="s">
        <v>33</v>
      </c>
      <c r="E41" s="2" t="s">
        <v>34</v>
      </c>
      <c r="F41" s="2" t="s">
        <v>49</v>
      </c>
      <c r="G41" s="2" t="s">
        <v>15</v>
      </c>
      <c r="H41" s="2">
        <v>13</v>
      </c>
      <c r="I41" s="2" t="s">
        <v>23</v>
      </c>
      <c r="J41" s="2">
        <v>10500</v>
      </c>
    </row>
    <row r="42" spans="1:10" x14ac:dyDescent="0.3">
      <c r="A42" s="2" t="s">
        <v>109</v>
      </c>
      <c r="B42" s="3">
        <v>46224</v>
      </c>
      <c r="C42" s="2" t="s">
        <v>110</v>
      </c>
      <c r="D42" s="2" t="s">
        <v>12</v>
      </c>
      <c r="E42" s="2" t="s">
        <v>13</v>
      </c>
      <c r="F42" s="2" t="s">
        <v>14</v>
      </c>
      <c r="G42" s="2" t="s">
        <v>22</v>
      </c>
      <c r="H42" s="2">
        <v>45</v>
      </c>
      <c r="I42" s="2" t="s">
        <v>16</v>
      </c>
      <c r="J42" s="2">
        <v>30000</v>
      </c>
    </row>
    <row r="43" spans="1:10" x14ac:dyDescent="0.3">
      <c r="A43" s="2" t="s">
        <v>111</v>
      </c>
      <c r="B43" s="3">
        <v>46225</v>
      </c>
      <c r="C43" s="2" t="s">
        <v>110</v>
      </c>
      <c r="D43" s="2" t="s">
        <v>12</v>
      </c>
      <c r="E43" s="2" t="s">
        <v>13</v>
      </c>
      <c r="F43" s="2" t="s">
        <v>14</v>
      </c>
      <c r="G43" s="2" t="s">
        <v>22</v>
      </c>
      <c r="H43" s="2">
        <v>45</v>
      </c>
      <c r="I43" s="2" t="s">
        <v>16</v>
      </c>
      <c r="J43" s="2">
        <v>30000</v>
      </c>
    </row>
    <row r="44" spans="1:10" x14ac:dyDescent="0.3">
      <c r="A44" s="2" t="s">
        <v>112</v>
      </c>
      <c r="B44" s="3">
        <v>46225</v>
      </c>
      <c r="C44" s="2" t="s">
        <v>25</v>
      </c>
      <c r="D44" s="2" t="s">
        <v>26</v>
      </c>
      <c r="E44" s="2" t="s">
        <v>27</v>
      </c>
      <c r="F44" s="2" t="s">
        <v>21</v>
      </c>
      <c r="G44" s="2" t="s">
        <v>15</v>
      </c>
      <c r="H44" s="2">
        <v>34</v>
      </c>
      <c r="I44" s="2" t="s">
        <v>23</v>
      </c>
      <c r="J44" s="2">
        <v>36000</v>
      </c>
    </row>
    <row r="45" spans="1:10" x14ac:dyDescent="0.3">
      <c r="A45" s="2" t="s">
        <v>113</v>
      </c>
      <c r="B45" s="3">
        <v>46226</v>
      </c>
      <c r="C45" s="2" t="s">
        <v>114</v>
      </c>
      <c r="D45" s="2" t="s">
        <v>19</v>
      </c>
      <c r="E45" s="2" t="s">
        <v>20</v>
      </c>
      <c r="F45" s="2" t="s">
        <v>28</v>
      </c>
      <c r="G45" s="2" t="s">
        <v>22</v>
      </c>
      <c r="H45" s="2">
        <v>50</v>
      </c>
      <c r="I45" s="2" t="s">
        <v>16</v>
      </c>
      <c r="J45" s="2">
        <v>28000</v>
      </c>
    </row>
    <row r="46" spans="1:10" x14ac:dyDescent="0.3">
      <c r="A46" s="2" t="s">
        <v>115</v>
      </c>
      <c r="B46" s="3">
        <v>46226</v>
      </c>
      <c r="C46" s="2" t="s">
        <v>116</v>
      </c>
      <c r="D46" s="2" t="s">
        <v>12</v>
      </c>
      <c r="E46" s="2" t="s">
        <v>13</v>
      </c>
      <c r="F46" s="2" t="s">
        <v>42</v>
      </c>
      <c r="G46" s="2" t="s">
        <v>15</v>
      </c>
      <c r="H46" s="2">
        <v>39</v>
      </c>
      <c r="I46" s="2" t="s">
        <v>23</v>
      </c>
      <c r="J46" s="2">
        <v>29000</v>
      </c>
    </row>
    <row r="47" spans="1:10" x14ac:dyDescent="0.3">
      <c r="A47" s="2" t="s">
        <v>117</v>
      </c>
      <c r="B47" s="3">
        <v>46227</v>
      </c>
      <c r="C47" s="2" t="s">
        <v>118</v>
      </c>
      <c r="D47" s="2" t="s">
        <v>40</v>
      </c>
      <c r="E47" s="2" t="s">
        <v>41</v>
      </c>
      <c r="F47" s="2" t="s">
        <v>14</v>
      </c>
      <c r="G47" s="2" t="s">
        <v>15</v>
      </c>
      <c r="H47" s="2">
        <v>30</v>
      </c>
      <c r="I47" s="2" t="s">
        <v>23</v>
      </c>
      <c r="J47" s="2">
        <v>22000</v>
      </c>
    </row>
    <row r="48" spans="1:10" x14ac:dyDescent="0.3">
      <c r="A48" s="2" t="s">
        <v>119</v>
      </c>
      <c r="B48" s="3">
        <v>46227</v>
      </c>
      <c r="C48" s="2" t="s">
        <v>44</v>
      </c>
      <c r="D48" s="2" t="s">
        <v>12</v>
      </c>
      <c r="E48" s="2" t="s">
        <v>13</v>
      </c>
      <c r="F48" s="2" t="s">
        <v>21</v>
      </c>
      <c r="G48" s="2" t="s">
        <v>22</v>
      </c>
      <c r="H48" s="2">
        <v>46</v>
      </c>
      <c r="I48" s="2" t="s">
        <v>16</v>
      </c>
      <c r="J48" s="2">
        <v>31000</v>
      </c>
    </row>
    <row r="49" spans="1:10" x14ac:dyDescent="0.3">
      <c r="A49" s="2" t="s">
        <v>120</v>
      </c>
      <c r="B49" s="3">
        <v>46228</v>
      </c>
      <c r="C49" s="2" t="s">
        <v>44</v>
      </c>
      <c r="D49" s="2" t="s">
        <v>12</v>
      </c>
      <c r="E49" s="2" t="s">
        <v>13</v>
      </c>
      <c r="F49" s="2" t="s">
        <v>21</v>
      </c>
      <c r="G49" s="2" t="s">
        <v>22</v>
      </c>
      <c r="H49" s="2">
        <v>46</v>
      </c>
      <c r="I49" s="2" t="s">
        <v>16</v>
      </c>
      <c r="J49" s="2">
        <v>31000</v>
      </c>
    </row>
    <row r="50" spans="1:10" x14ac:dyDescent="0.3">
      <c r="A50" s="2" t="s">
        <v>122</v>
      </c>
      <c r="B50" s="3">
        <v>46228</v>
      </c>
      <c r="C50" s="2" t="s">
        <v>123</v>
      </c>
      <c r="D50" s="2" t="s">
        <v>26</v>
      </c>
      <c r="E50" s="2" t="s">
        <v>27</v>
      </c>
      <c r="F50" s="2" t="s">
        <v>28</v>
      </c>
      <c r="G50" s="2" t="s">
        <v>22</v>
      </c>
      <c r="H50" s="2">
        <v>57</v>
      </c>
      <c r="I50" s="2" t="s">
        <v>16</v>
      </c>
      <c r="J50" s="2">
        <v>43000</v>
      </c>
    </row>
    <row r="51" spans="1:10" x14ac:dyDescent="0.3">
      <c r="A51" s="2"/>
      <c r="B51" s="3"/>
      <c r="C51" s="2"/>
      <c r="D51" s="2"/>
      <c r="E51" s="2"/>
      <c r="F51" s="2"/>
      <c r="G51" s="2"/>
      <c r="H51" s="2"/>
      <c r="I51" s="2"/>
      <c r="J51" s="2">
        <f>SUM(J2:J50)</f>
        <v>1250000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2DB4-DFAF-4CFC-B7DC-97EBA706BD49}">
  <dimension ref="A1:B75"/>
  <sheetViews>
    <sheetView showGridLines="0" topLeftCell="A54" zoomScale="90" workbookViewId="0">
      <selection activeCell="W6" sqref="W6"/>
    </sheetView>
  </sheetViews>
  <sheetFormatPr defaultRowHeight="14.4" x14ac:dyDescent="0.3"/>
  <cols>
    <col min="1" max="1" width="16" bestFit="1" customWidth="1"/>
    <col min="2" max="2" width="17.21875" bestFit="1" customWidth="1"/>
  </cols>
  <sheetData>
    <row r="1" spans="1:2" x14ac:dyDescent="0.3">
      <c r="A1" s="4" t="s">
        <v>5</v>
      </c>
      <c r="B1" s="6" t="s">
        <v>126</v>
      </c>
    </row>
    <row r="2" spans="1:2" x14ac:dyDescent="0.3">
      <c r="A2" s="5" t="s">
        <v>14</v>
      </c>
      <c r="B2" s="6">
        <v>356000</v>
      </c>
    </row>
    <row r="3" spans="1:2" x14ac:dyDescent="0.3">
      <c r="A3" s="5" t="s">
        <v>28</v>
      </c>
      <c r="B3" s="6">
        <v>333000</v>
      </c>
    </row>
    <row r="4" spans="1:2" x14ac:dyDescent="0.3">
      <c r="A4" s="5" t="s">
        <v>21</v>
      </c>
      <c r="B4" s="6">
        <v>242000</v>
      </c>
    </row>
    <row r="5" spans="1:2" x14ac:dyDescent="0.3">
      <c r="A5" s="5" t="s">
        <v>42</v>
      </c>
      <c r="B5" s="6">
        <v>216000</v>
      </c>
    </row>
    <row r="6" spans="1:2" x14ac:dyDescent="0.3">
      <c r="A6" s="5" t="s">
        <v>49</v>
      </c>
      <c r="B6" s="6">
        <v>55000</v>
      </c>
    </row>
    <row r="7" spans="1:2" x14ac:dyDescent="0.3">
      <c r="A7" s="5" t="s">
        <v>37</v>
      </c>
      <c r="B7" s="6">
        <v>48000</v>
      </c>
    </row>
    <row r="8" spans="1:2" x14ac:dyDescent="0.3">
      <c r="A8" s="5" t="s">
        <v>128</v>
      </c>
      <c r="B8" s="6">
        <v>1250000</v>
      </c>
    </row>
    <row r="18" spans="1:2" x14ac:dyDescent="0.3">
      <c r="A18" s="4" t="s">
        <v>3</v>
      </c>
      <c r="B18" s="6" t="s">
        <v>126</v>
      </c>
    </row>
    <row r="19" spans="1:2" x14ac:dyDescent="0.3">
      <c r="A19" s="5" t="s">
        <v>12</v>
      </c>
      <c r="B19" s="6">
        <v>535000</v>
      </c>
    </row>
    <row r="20" spans="1:2" x14ac:dyDescent="0.3">
      <c r="A20" s="5" t="s">
        <v>26</v>
      </c>
      <c r="B20" s="6">
        <v>349000</v>
      </c>
    </row>
    <row r="21" spans="1:2" x14ac:dyDescent="0.3">
      <c r="A21" s="5" t="s">
        <v>19</v>
      </c>
      <c r="B21" s="6">
        <v>180000</v>
      </c>
    </row>
    <row r="22" spans="1:2" x14ac:dyDescent="0.3">
      <c r="A22" s="5" t="s">
        <v>40</v>
      </c>
      <c r="B22" s="6">
        <v>116000</v>
      </c>
    </row>
    <row r="23" spans="1:2" x14ac:dyDescent="0.3">
      <c r="A23" s="5" t="s">
        <v>33</v>
      </c>
      <c r="B23" s="6">
        <v>70000</v>
      </c>
    </row>
    <row r="24" spans="1:2" x14ac:dyDescent="0.3">
      <c r="A24" s="5" t="s">
        <v>128</v>
      </c>
      <c r="B24" s="6">
        <v>1250000</v>
      </c>
    </row>
    <row r="36" spans="1:2" x14ac:dyDescent="0.3">
      <c r="A36" s="4" t="s">
        <v>127</v>
      </c>
      <c r="B36" t="s">
        <v>129</v>
      </c>
    </row>
    <row r="37" spans="1:2" x14ac:dyDescent="0.3">
      <c r="A37" s="5" t="s">
        <v>12</v>
      </c>
      <c r="B37">
        <v>17</v>
      </c>
    </row>
    <row r="38" spans="1:2" x14ac:dyDescent="0.3">
      <c r="A38" s="5" t="s">
        <v>19</v>
      </c>
      <c r="B38">
        <v>10</v>
      </c>
    </row>
    <row r="39" spans="1:2" x14ac:dyDescent="0.3">
      <c r="A39" s="5" t="s">
        <v>26</v>
      </c>
      <c r="B39">
        <v>9</v>
      </c>
    </row>
    <row r="40" spans="1:2" x14ac:dyDescent="0.3">
      <c r="A40" s="5" t="s">
        <v>33</v>
      </c>
      <c r="B40">
        <v>7</v>
      </c>
    </row>
    <row r="41" spans="1:2" x14ac:dyDescent="0.3">
      <c r="A41" s="5" t="s">
        <v>40</v>
      </c>
      <c r="B41">
        <v>6</v>
      </c>
    </row>
    <row r="42" spans="1:2" x14ac:dyDescent="0.3">
      <c r="A42" s="5" t="s">
        <v>128</v>
      </c>
      <c r="B42">
        <v>49</v>
      </c>
    </row>
    <row r="50" spans="1:2" x14ac:dyDescent="0.3">
      <c r="A50" s="4" t="s">
        <v>131</v>
      </c>
      <c r="B50" t="s">
        <v>129</v>
      </c>
    </row>
    <row r="51" spans="1:2" x14ac:dyDescent="0.3">
      <c r="A51" s="5" t="s">
        <v>23</v>
      </c>
      <c r="B51">
        <v>25</v>
      </c>
    </row>
    <row r="52" spans="1:2" x14ac:dyDescent="0.3">
      <c r="A52" s="5" t="s">
        <v>16</v>
      </c>
      <c r="B52">
        <v>24</v>
      </c>
    </row>
    <row r="53" spans="1:2" x14ac:dyDescent="0.3">
      <c r="A53" s="5" t="s">
        <v>128</v>
      </c>
      <c r="B53">
        <v>49</v>
      </c>
    </row>
    <row r="69" spans="1:2" x14ac:dyDescent="0.3">
      <c r="A69" s="4" t="s">
        <v>132</v>
      </c>
      <c r="B69" s="6" t="s">
        <v>130</v>
      </c>
    </row>
    <row r="70" spans="1:2" x14ac:dyDescent="0.3">
      <c r="A70" s="5" t="s">
        <v>27</v>
      </c>
      <c r="B70" s="6">
        <v>38777.777777777781</v>
      </c>
    </row>
    <row r="71" spans="1:2" x14ac:dyDescent="0.3">
      <c r="A71" s="5" t="s">
        <v>13</v>
      </c>
      <c r="B71" s="6">
        <v>31470.588235294119</v>
      </c>
    </row>
    <row r="72" spans="1:2" x14ac:dyDescent="0.3">
      <c r="A72" s="5" t="s">
        <v>41</v>
      </c>
      <c r="B72" s="6">
        <v>19333.333333333332</v>
      </c>
    </row>
    <row r="73" spans="1:2" x14ac:dyDescent="0.3">
      <c r="A73" s="5" t="s">
        <v>20</v>
      </c>
      <c r="B73" s="6">
        <v>18000</v>
      </c>
    </row>
    <row r="74" spans="1:2" x14ac:dyDescent="0.3">
      <c r="A74" s="5" t="s">
        <v>34</v>
      </c>
      <c r="B74" s="6">
        <v>10000</v>
      </c>
    </row>
    <row r="75" spans="1:2" x14ac:dyDescent="0.3">
      <c r="A75" s="5" t="s">
        <v>128</v>
      </c>
      <c r="B75" s="6">
        <v>25510.204081632652</v>
      </c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7D47-8EBF-4506-A36A-0DAD158748CC}">
  <dimension ref="A1:V84"/>
  <sheetViews>
    <sheetView showGridLines="0" tabSelected="1" topLeftCell="A41" zoomScale="46" zoomScaleNormal="67" workbookViewId="0">
      <selection activeCell="J83" sqref="J83"/>
    </sheetView>
  </sheetViews>
  <sheetFormatPr defaultRowHeight="14.4" x14ac:dyDescent="0.3"/>
  <sheetData>
    <row r="1" spans="1:22" ht="40.799999999999997" customHeight="1" thickBot="1" x14ac:dyDescent="0.7">
      <c r="A1" s="19" t="s">
        <v>141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ht="15" thickBot="1" x14ac:dyDescent="0.35"/>
    <row r="3" spans="1:22" ht="18" x14ac:dyDescent="0.35">
      <c r="A3" s="7"/>
      <c r="B3" s="8"/>
      <c r="C3" s="9"/>
      <c r="E3" s="20"/>
      <c r="F3" s="21"/>
      <c r="G3" s="22"/>
      <c r="I3" s="20"/>
      <c r="J3" s="21"/>
      <c r="K3" s="22"/>
      <c r="M3" s="20"/>
      <c r="N3" s="21"/>
      <c r="O3" s="22"/>
      <c r="Q3" s="20"/>
      <c r="R3" s="21"/>
      <c r="S3" s="21"/>
      <c r="T3" s="47"/>
    </row>
    <row r="4" spans="1:22" ht="18" x14ac:dyDescent="0.35">
      <c r="A4" s="10" t="s">
        <v>133</v>
      </c>
      <c r="B4" s="11"/>
      <c r="C4" s="12"/>
      <c r="E4" s="30" t="s">
        <v>134</v>
      </c>
      <c r="F4" s="33"/>
      <c r="G4" s="34"/>
      <c r="I4" s="30" t="s">
        <v>135</v>
      </c>
      <c r="J4" s="31"/>
      <c r="K4" s="32"/>
      <c r="M4" s="30" t="s">
        <v>137</v>
      </c>
      <c r="N4" s="31"/>
      <c r="O4" s="32"/>
      <c r="Q4" s="30" t="s">
        <v>139</v>
      </c>
      <c r="R4" s="31"/>
      <c r="S4" s="31"/>
      <c r="T4" s="47"/>
    </row>
    <row r="5" spans="1:22" ht="18" x14ac:dyDescent="0.35">
      <c r="A5" s="13"/>
      <c r="B5" s="14"/>
      <c r="C5" s="15"/>
      <c r="E5" s="23"/>
      <c r="F5" s="24"/>
      <c r="G5" s="25"/>
      <c r="I5" s="23"/>
      <c r="J5" s="24"/>
      <c r="K5" s="25"/>
      <c r="M5" s="23"/>
      <c r="N5" s="24"/>
      <c r="O5" s="25"/>
      <c r="Q5" s="23"/>
      <c r="R5" s="24"/>
      <c r="S5" s="24"/>
      <c r="T5" s="47"/>
    </row>
    <row r="6" spans="1:22" ht="21" x14ac:dyDescent="0.4">
      <c r="A6" s="41">
        <v>1250000</v>
      </c>
      <c r="B6" s="42"/>
      <c r="C6" s="43"/>
      <c r="E6" s="36">
        <v>50</v>
      </c>
      <c r="F6" s="37"/>
      <c r="G6" s="38"/>
      <c r="I6" s="36" t="s">
        <v>136</v>
      </c>
      <c r="J6" s="37"/>
      <c r="K6" s="38"/>
      <c r="M6" s="36" t="s">
        <v>138</v>
      </c>
      <c r="N6" s="39"/>
      <c r="O6" s="40"/>
      <c r="Q6" s="36" t="s">
        <v>140</v>
      </c>
      <c r="R6" s="26"/>
      <c r="S6" s="26"/>
      <c r="T6" s="47"/>
    </row>
    <row r="7" spans="1:22" ht="18" x14ac:dyDescent="0.35">
      <c r="A7" s="13"/>
      <c r="B7" s="14"/>
      <c r="C7" s="15"/>
      <c r="E7" s="23"/>
      <c r="F7" s="24"/>
      <c r="G7" s="25"/>
      <c r="I7" s="23"/>
      <c r="J7" s="24"/>
      <c r="K7" s="25"/>
      <c r="M7" s="23"/>
      <c r="N7" s="24"/>
      <c r="O7" s="25"/>
      <c r="Q7" s="23"/>
      <c r="R7" s="24"/>
      <c r="S7" s="24"/>
      <c r="T7" s="47"/>
    </row>
    <row r="8" spans="1:22" ht="18" x14ac:dyDescent="0.35">
      <c r="A8" s="13"/>
      <c r="B8" s="14"/>
      <c r="C8" s="15"/>
      <c r="E8" s="23"/>
      <c r="F8" s="24"/>
      <c r="G8" s="25"/>
      <c r="I8" s="23"/>
      <c r="J8" s="24"/>
      <c r="K8" s="25"/>
      <c r="M8" s="23"/>
      <c r="N8" s="24"/>
      <c r="O8" s="25"/>
      <c r="Q8" s="23"/>
      <c r="R8" s="24"/>
      <c r="S8" s="24"/>
      <c r="T8" s="47"/>
    </row>
    <row r="9" spans="1:22" ht="18.600000000000001" thickBot="1" x14ac:dyDescent="0.4">
      <c r="A9" s="16"/>
      <c r="B9" s="17"/>
      <c r="C9" s="18"/>
      <c r="E9" s="27"/>
      <c r="F9" s="28"/>
      <c r="G9" s="29"/>
      <c r="I9" s="35"/>
      <c r="J9" s="28"/>
      <c r="K9" s="29"/>
      <c r="M9" s="35"/>
      <c r="N9" s="28"/>
      <c r="O9" s="29"/>
      <c r="Q9" s="35"/>
      <c r="R9" s="28"/>
      <c r="S9" s="28"/>
      <c r="T9" s="47"/>
    </row>
    <row r="10" spans="1:22" x14ac:dyDescent="0.3">
      <c r="T10" s="47"/>
    </row>
    <row r="11" spans="1:22" x14ac:dyDescent="0.3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7"/>
    </row>
    <row r="12" spans="1:22" x14ac:dyDescent="0.3">
      <c r="T12" s="47"/>
    </row>
    <row r="13" spans="1:22" x14ac:dyDescent="0.3">
      <c r="J13" s="47"/>
      <c r="T13" s="47"/>
    </row>
    <row r="14" spans="1:22" x14ac:dyDescent="0.3">
      <c r="J14" s="47"/>
      <c r="T14" s="47"/>
    </row>
    <row r="15" spans="1:22" x14ac:dyDescent="0.3">
      <c r="J15" s="47"/>
      <c r="T15" s="47"/>
    </row>
    <row r="16" spans="1:22" x14ac:dyDescent="0.3">
      <c r="J16" s="47"/>
      <c r="T16" s="47"/>
    </row>
    <row r="17" spans="1:20" x14ac:dyDescent="0.3">
      <c r="J17" s="47"/>
      <c r="T17" s="47"/>
    </row>
    <row r="18" spans="1:20" x14ac:dyDescent="0.3">
      <c r="J18" s="47"/>
      <c r="T18" s="47"/>
    </row>
    <row r="19" spans="1:20" x14ac:dyDescent="0.3">
      <c r="J19" s="47"/>
      <c r="T19" s="47"/>
    </row>
    <row r="20" spans="1:20" x14ac:dyDescent="0.3">
      <c r="J20" s="47"/>
      <c r="T20" s="47"/>
    </row>
    <row r="21" spans="1:20" x14ac:dyDescent="0.3">
      <c r="J21" s="47"/>
      <c r="T21" s="47"/>
    </row>
    <row r="22" spans="1:20" x14ac:dyDescent="0.3">
      <c r="J22" s="47"/>
      <c r="T22" s="47"/>
    </row>
    <row r="23" spans="1:20" x14ac:dyDescent="0.3">
      <c r="J23" s="47"/>
      <c r="T23" s="47"/>
    </row>
    <row r="24" spans="1:20" x14ac:dyDescent="0.3">
      <c r="J24" s="47"/>
      <c r="T24" s="47"/>
    </row>
    <row r="25" spans="1:20" x14ac:dyDescent="0.3">
      <c r="J25" s="47"/>
      <c r="T25" s="47"/>
    </row>
    <row r="26" spans="1:20" x14ac:dyDescent="0.3">
      <c r="J26" s="47"/>
      <c r="T26" s="47"/>
    </row>
    <row r="27" spans="1:20" x14ac:dyDescent="0.3">
      <c r="J27" s="47"/>
      <c r="T27" s="47"/>
    </row>
    <row r="28" spans="1:20" x14ac:dyDescent="0.3">
      <c r="J28" s="47"/>
      <c r="T28" s="47"/>
    </row>
    <row r="29" spans="1:20" x14ac:dyDescent="0.3">
      <c r="J29" s="47"/>
      <c r="T29" s="47"/>
    </row>
    <row r="30" spans="1:20" x14ac:dyDescent="0.3">
      <c r="J30" s="47"/>
      <c r="T30" s="47"/>
    </row>
    <row r="31" spans="1:20" x14ac:dyDescent="0.3">
      <c r="A31" s="46"/>
      <c r="B31" s="46"/>
      <c r="C31" s="46"/>
      <c r="D31" s="46"/>
      <c r="E31" s="46"/>
      <c r="F31" s="46"/>
      <c r="G31" s="46"/>
      <c r="H31" s="46"/>
      <c r="I31" s="46"/>
      <c r="J31" s="48"/>
      <c r="K31" s="46"/>
      <c r="L31" s="46"/>
      <c r="M31" s="46"/>
      <c r="N31" s="46"/>
      <c r="O31" s="46"/>
      <c r="P31" s="46"/>
      <c r="Q31" s="46"/>
      <c r="R31" s="46"/>
      <c r="S31" s="46"/>
      <c r="T31" s="47"/>
    </row>
    <row r="32" spans="1:20" x14ac:dyDescent="0.3">
      <c r="J32" s="47"/>
      <c r="T32" s="47"/>
    </row>
    <row r="33" spans="10:20" x14ac:dyDescent="0.3">
      <c r="J33" s="47"/>
      <c r="T33" s="47"/>
    </row>
    <row r="34" spans="10:20" x14ac:dyDescent="0.3">
      <c r="J34" s="47"/>
      <c r="T34" s="47"/>
    </row>
    <row r="35" spans="10:20" x14ac:dyDescent="0.3">
      <c r="J35" s="47"/>
      <c r="T35" s="47"/>
    </row>
    <row r="36" spans="10:20" x14ac:dyDescent="0.3">
      <c r="J36" s="47"/>
      <c r="T36" s="47"/>
    </row>
    <row r="37" spans="10:20" x14ac:dyDescent="0.3">
      <c r="J37" s="47"/>
      <c r="T37" s="47"/>
    </row>
    <row r="38" spans="10:20" x14ac:dyDescent="0.3">
      <c r="J38" s="47"/>
      <c r="T38" s="47"/>
    </row>
    <row r="39" spans="10:20" x14ac:dyDescent="0.3">
      <c r="J39" s="47"/>
      <c r="T39" s="47"/>
    </row>
    <row r="40" spans="10:20" x14ac:dyDescent="0.3">
      <c r="J40" s="47"/>
      <c r="T40" s="47"/>
    </row>
    <row r="41" spans="10:20" x14ac:dyDescent="0.3">
      <c r="J41" s="47"/>
      <c r="T41" s="47"/>
    </row>
    <row r="42" spans="10:20" x14ac:dyDescent="0.3">
      <c r="J42" s="47"/>
      <c r="T42" s="47"/>
    </row>
    <row r="43" spans="10:20" x14ac:dyDescent="0.3">
      <c r="J43" s="47"/>
      <c r="T43" s="47"/>
    </row>
    <row r="44" spans="10:20" x14ac:dyDescent="0.3">
      <c r="J44" s="47"/>
      <c r="T44" s="47"/>
    </row>
    <row r="45" spans="10:20" x14ac:dyDescent="0.3">
      <c r="J45" s="47"/>
      <c r="T45" s="47"/>
    </row>
    <row r="46" spans="10:20" x14ac:dyDescent="0.3">
      <c r="J46" s="47"/>
      <c r="T46" s="47"/>
    </row>
    <row r="47" spans="10:20" x14ac:dyDescent="0.3">
      <c r="J47" s="47"/>
      <c r="T47" s="47"/>
    </row>
    <row r="48" spans="10:20" x14ac:dyDescent="0.3">
      <c r="J48" s="47"/>
      <c r="T48" s="47"/>
    </row>
    <row r="49" spans="1:20" x14ac:dyDescent="0.3">
      <c r="A49" s="46"/>
      <c r="B49" s="46"/>
      <c r="C49" s="46"/>
      <c r="D49" s="46"/>
      <c r="E49" s="46"/>
      <c r="F49" s="46"/>
      <c r="G49" s="46"/>
      <c r="H49" s="46"/>
      <c r="I49" s="46"/>
      <c r="J49" s="48"/>
      <c r="K49" s="46"/>
      <c r="L49" s="46"/>
      <c r="M49" s="46"/>
      <c r="N49" s="46"/>
      <c r="O49" s="46"/>
      <c r="P49" s="46"/>
      <c r="Q49" s="46"/>
      <c r="R49" s="46"/>
      <c r="S49" s="46"/>
      <c r="T49" s="47"/>
    </row>
    <row r="50" spans="1:20" x14ac:dyDescent="0.3">
      <c r="T50" s="47"/>
    </row>
    <row r="51" spans="1:20" x14ac:dyDescent="0.3">
      <c r="T51" s="47"/>
    </row>
    <row r="52" spans="1:20" x14ac:dyDescent="0.3">
      <c r="T52" s="47"/>
    </row>
    <row r="53" spans="1:20" x14ac:dyDescent="0.3">
      <c r="T53" s="47"/>
    </row>
    <row r="54" spans="1:20" x14ac:dyDescent="0.3">
      <c r="T54" s="47"/>
    </row>
    <row r="55" spans="1:20" x14ac:dyDescent="0.3">
      <c r="T55" s="47"/>
    </row>
    <row r="56" spans="1:20" x14ac:dyDescent="0.3">
      <c r="T56" s="47"/>
    </row>
    <row r="57" spans="1:20" x14ac:dyDescent="0.3">
      <c r="T57" s="47"/>
    </row>
    <row r="58" spans="1:20" x14ac:dyDescent="0.3">
      <c r="T58" s="47"/>
    </row>
    <row r="59" spans="1:20" x14ac:dyDescent="0.3">
      <c r="T59" s="47"/>
    </row>
    <row r="60" spans="1:20" x14ac:dyDescent="0.3">
      <c r="T60" s="47"/>
    </row>
    <row r="61" spans="1:20" x14ac:dyDescent="0.3">
      <c r="T61" s="47"/>
    </row>
    <row r="62" spans="1:20" x14ac:dyDescent="0.3">
      <c r="T62" s="47"/>
    </row>
    <row r="63" spans="1:20" x14ac:dyDescent="0.3">
      <c r="T63" s="47"/>
    </row>
    <row r="64" spans="1:20" x14ac:dyDescent="0.3">
      <c r="T64" s="47"/>
    </row>
    <row r="65" spans="1:20" x14ac:dyDescent="0.3">
      <c r="T65" s="47"/>
    </row>
    <row r="66" spans="1:20" x14ac:dyDescent="0.3">
      <c r="T66" s="47"/>
    </row>
    <row r="67" spans="1:20" x14ac:dyDescent="0.3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9"/>
      <c r="T67" s="47"/>
    </row>
    <row r="70" spans="1:20" ht="15" thickBot="1" x14ac:dyDescent="0.35"/>
    <row r="71" spans="1:20" ht="40.200000000000003" customHeight="1" thickBot="1" x14ac:dyDescent="0.55000000000000004">
      <c r="A71" s="51" t="s">
        <v>142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3"/>
    </row>
    <row r="72" spans="1:20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</row>
    <row r="73" spans="1:20" ht="15" thickBot="1" x14ac:dyDescent="0.3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</row>
    <row r="74" spans="1:20" ht="28.2" customHeight="1" thickBot="1" x14ac:dyDescent="0.45">
      <c r="A74" s="50"/>
      <c r="B74" s="54" t="s">
        <v>143</v>
      </c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6"/>
    </row>
    <row r="75" spans="1:20" ht="15" thickBot="1" x14ac:dyDescent="0.3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</row>
    <row r="76" spans="1:20" ht="27.6" customHeight="1" thickBot="1" x14ac:dyDescent="0.45">
      <c r="A76" s="50"/>
      <c r="B76" s="54" t="s">
        <v>144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8"/>
    </row>
    <row r="77" spans="1:20" ht="15" thickBot="1" x14ac:dyDescent="0.3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</row>
    <row r="78" spans="1:20" ht="25.2" customHeight="1" thickBot="1" x14ac:dyDescent="0.45">
      <c r="A78" s="50"/>
      <c r="B78" s="59" t="s">
        <v>145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6"/>
    </row>
    <row r="79" spans="1:20" ht="15" thickBot="1" x14ac:dyDescent="0.3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</row>
    <row r="80" spans="1:20" ht="21.6" thickBot="1" x14ac:dyDescent="0.45">
      <c r="A80" s="50"/>
      <c r="B80" s="59" t="s">
        <v>146</v>
      </c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6"/>
    </row>
    <row r="81" spans="1:19" ht="15" thickBot="1" x14ac:dyDescent="0.3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</row>
    <row r="82" spans="1:19" ht="21.6" thickBot="1" x14ac:dyDescent="0.45">
      <c r="A82" s="50"/>
      <c r="B82" s="59" t="s">
        <v>147</v>
      </c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1"/>
    </row>
    <row r="83" spans="1:19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</row>
    <row r="84" spans="1:19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</row>
  </sheetData>
  <mergeCells count="17">
    <mergeCell ref="A71:S71"/>
    <mergeCell ref="B74:S74"/>
    <mergeCell ref="B76:S76"/>
    <mergeCell ref="B78:S78"/>
    <mergeCell ref="B80:S80"/>
    <mergeCell ref="B82:S82"/>
    <mergeCell ref="M4:O4"/>
    <mergeCell ref="M6:O6"/>
    <mergeCell ref="Q4:S4"/>
    <mergeCell ref="Q6:S6"/>
    <mergeCell ref="A1:V1"/>
    <mergeCell ref="A4:C4"/>
    <mergeCell ref="A6:C6"/>
    <mergeCell ref="E4:G4"/>
    <mergeCell ref="E6:G6"/>
    <mergeCell ref="I4:K4"/>
    <mergeCell ref="I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cleaned data</vt:lpstr>
      <vt:lpstr>pivot table&amp;charts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afzal</dc:creator>
  <cp:lastModifiedBy>hafsa afzal</cp:lastModifiedBy>
  <dcterms:created xsi:type="dcterms:W3CDTF">2026-06-17T15:07:52Z</dcterms:created>
  <dcterms:modified xsi:type="dcterms:W3CDTF">2026-06-18T12:01:39Z</dcterms:modified>
</cp:coreProperties>
</file>